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9bdb2e5e243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e56049c73c934934"/>
    <x:sheet xmlns:r="http://schemas.openxmlformats.org/officeDocument/2006/relationships" name="Movimentações" sheetId="2" r:id="R159b790c98614d75"/>
    <x:sheet xmlns:r="http://schemas.openxmlformats.org/officeDocument/2006/relationships" name="Estoque por Lote" sheetId="3" r:id="R9c6e46fc46a44402"/>
    <x:sheet xmlns:r="http://schemas.openxmlformats.org/officeDocument/2006/relationships" name="FIFO" sheetId="4" r:id="R1ae2ca3ed2404ee3"/>
    <x:sheet xmlns:r="http://schemas.openxmlformats.org/officeDocument/2006/relationships" name="Regras e Listas" sheetId="5" r:id="R637fbace6c7d48a4"/>
    <x:sheet xmlns:r="http://schemas.openxmlformats.org/officeDocument/2006/relationships" name="Instruções" sheetId="6" r:id="R53f5096b58254b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b/>
      <x:sz val="19"/>
      <x:color rgb="FFFFFFFF"/>
      <x:name val="Carlito"/>
    </x:font>
    <x:font>
      <x:b/>
      <x:sz val="22"/>
      <x:color rgb="FF16834B"/>
      <x:name val="Carlito"/>
    </x:font>
    <x:font>
      <x:b/>
      <x:sz val="22"/>
      <x:color rgb="FFC83D3D"/>
      <x:name val="Carlito"/>
    </x:font>
    <x:font>
      <x:b/>
      <x:sz val="11"/>
      <x:color rgb="FF64748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D66"/>
      </x:patternFill>
    </x:fill>
    <x:fill>
      <x:patternFill patternType="solid">
        <x:fgColor rgb="FFEAF2F8"/>
      </x:patternFill>
    </x:fill>
    <x:fill>
      <x:patternFill patternType="solid">
        <x:fgColor rgb="FF1769AA"/>
      </x:patternFill>
    </x:fill>
    <x:fill>
      <x:patternFill patternType="solid">
        <x:fgColor rgb="FFE8F5EC"/>
      </x:patternFill>
    </x:fill>
    <x:fill>
      <x:patternFill patternType="solid">
        <x:fgColor rgb="FFFCEAEA"/>
      </x:patternFill>
    </x:fill>
    <x:fill>
      <x:patternFill patternType="solid">
        <x:fgColor rgb="FFF8FAFC"/>
      </x:patternFill>
    </x:fill>
  </x:fills>
  <x:borders count="11">
    <x:border/>
    <x:border>
      <x:left style="medium">
        <x:color rgb="FF16834B"/>
      </x:left>
      <x:top style="medium">
        <x:color rgb="FF16834B"/>
      </x:top>
    </x:border>
    <x:border>
      <x:top style="medium">
        <x:color rgb="FF16834B"/>
      </x:top>
    </x:border>
    <x:border>
      <x:right style="medium">
        <x:color rgb="FF16834B"/>
      </x:right>
      <x:top style="medium">
        <x:color rgb="FF16834B"/>
      </x:top>
    </x:border>
    <x:border>
      <x:left style="medium">
        <x:color rgb="FF16834B"/>
      </x:left>
      <x:bottom style="medium">
        <x:color rgb="FF16834B"/>
      </x:bottom>
    </x:border>
    <x:border>
      <x:bottom style="medium">
        <x:color rgb="FF16834B"/>
      </x:bottom>
    </x:border>
    <x:border>
      <x:right style="medium">
        <x:color rgb="FF16834B"/>
      </x:right>
      <x:bottom style="medium">
        <x:color rgb="FF16834B"/>
      </x:bottom>
    </x:border>
    <x:border>
      <x:left style="medium">
        <x:color rgb="FFC83D3D"/>
      </x:left>
      <x:top style="medium">
        <x:color rgb="FFC83D3D"/>
      </x:top>
    </x:border>
    <x:border>
      <x:right style="medium">
        <x:color rgb="FFC83D3D"/>
      </x:right>
      <x:top style="medium">
        <x:color rgb="FFC83D3D"/>
      </x:top>
    </x:border>
    <x:border>
      <x:left style="medium">
        <x:color rgb="FFC83D3D"/>
      </x:left>
      <x:bottom style="medium">
        <x:color rgb="FFC83D3D"/>
      </x:bottom>
    </x:border>
    <x:border>
      <x:right style="medium">
        <x:color rgb="FFC83D3D"/>
      </x:right>
      <x:bottom style="medium">
        <x:color rgb="FFC83D3D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/>
    </x:xf>
    <x:xf numFmtId="0" fontId="5" fillId="5" borderId="6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7" xfId="0" applyNumberFormat="1" applyFont="1" applyFill="1" applyBorder="1" applyAlignment="1">
      <x:alignment horizontal="center"/>
    </x:xf>
    <x:xf numFmtId="0" fontId="6" fillId="6" borderId="8" xfId="0" applyNumberFormat="1" applyFont="1" applyFill="1" applyBorder="1" applyAlignment="1">
      <x:alignment horizontal="center"/>
    </x:xf>
    <x:xf numFmtId="0" fontId="6" fillId="6" borderId="9" xfId="0" applyNumberFormat="1" applyFont="1" applyFill="1" applyBorder="1" applyAlignment="1">
      <x:alignment horizontal="center"/>
    </x:xf>
    <x:xf numFmtId="0" fontId="6" fillId="6" borderId="10" xfId="0" applyNumberFormat="1" applyFont="1" applyFill="1" applyBorder="1" applyAlignment="1">
      <x:alignment horizontal="center"/>
    </x:xf>
    <x:xf numFmtId="0" fontId="6" fillId="6" borderId="7" xfId="0" applyNumberFormat="1" applyFont="1" applyFill="1" applyBorder="1" applyAlignment="1">
      <x:alignment horizontal="center" vertic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6" fillId="6" borderId="9" xfId="0" applyNumberFormat="1" applyFont="1" applyFill="1" applyBorder="1" applyAlignment="1">
      <x:alignment horizontal="center" vertical="center"/>
    </x:xf>
    <x:xf numFmtId="0" fontId="6" fillId="6" borderId="1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5" fillId="5" borderId="1" xfId="0" applyNumberFormat="1" applyFont="1" applyFill="1" applyBorder="1" applyAlignment="1">
      <x:alignment horizontal="center" vertical="center"/>
    </x:xf>
    <x:xf numFmtId="201" fontId="5" fillId="5" borderId="2" xfId="0" applyNumberFormat="1" applyFont="1" applyFill="1" applyBorder="1" applyAlignment="1">
      <x:alignment horizontal="center" vertical="center"/>
    </x:xf>
    <x:xf numFmtId="201" fontId="5" fillId="5" borderId="3" xfId="0" applyNumberFormat="1" applyFont="1" applyFill="1" applyBorder="1" applyAlignment="1">
      <x:alignment horizontal="center" vertical="center"/>
    </x:xf>
    <x:xf numFmtId="201" fontId="6" fillId="6" borderId="7" xfId="0" applyNumberFormat="1" applyFont="1" applyFill="1" applyBorder="1" applyAlignment="1">
      <x:alignment horizontal="center" vertical="center"/>
    </x:xf>
    <x:xf numFmtId="201" fontId="6" fillId="6" borderId="8" xfId="0" applyNumberFormat="1" applyFont="1" applyFill="1" applyBorder="1" applyAlignment="1">
      <x:alignment horizontal="center" vertical="center"/>
    </x:xf>
    <x:xf numFmtId="201" fontId="5" fillId="5" borderId="4" xfId="0" applyNumberFormat="1" applyFont="1" applyFill="1" applyBorder="1" applyAlignment="1">
      <x:alignment horizontal="center" vertical="center"/>
    </x:xf>
    <x:xf numFmtId="201" fontId="5" fillId="5" borderId="5" xfId="0" applyNumberFormat="1" applyFont="1" applyFill="1" applyBorder="1" applyAlignment="1">
      <x:alignment horizontal="center" vertical="center"/>
    </x:xf>
    <x:xf numFmtId="201" fontId="5" fillId="5" borderId="6" xfId="0" applyNumberFormat="1" applyFont="1" applyFill="1" applyBorder="1" applyAlignment="1">
      <x:alignment horizontal="center" vertical="center"/>
    </x:xf>
    <x:xf numFmtId="201" fontId="6" fillId="6" borderId="9" xfId="0" applyNumberFormat="1" applyFont="1" applyFill="1" applyBorder="1" applyAlignment="1">
      <x:alignment horizontal="center" vertical="center"/>
    </x:xf>
    <x:xf numFmtId="201" fontId="6" fillId="6" borderId="10" xfId="0" applyNumberFormat="1" applyFont="1" applyFill="1" applyBorder="1" applyAlignment="1">
      <x:alignment horizontal="center" vertical="center"/>
    </x:xf>
    <x:xf numFmtId="201" fontId="3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C83D3D"/>
      </x:font>
      <x:fill>
        <x:patternFill patternType="solid">
          <x:bgColor rgb="FFFCEAEA"/>
        </x:patternFill>
      </x:fill>
    </x:dxf>
    <x:dxf>
      <x:font>
        <x:b/>
        <x:color rgb="FF16834B"/>
      </x:font>
      <x:fill>
        <x:patternFill patternType="solid">
          <x:bgColor rgb="FFE8F5EC"/>
        </x:patternFill>
      </x:fill>
    </x:dxf>
    <x:dxf>
      <x:font>
        <x:b/>
        <x:color rgb="FFC83D3D"/>
      </x:font>
      <x:fill>
        <x:patternFill patternType="solid">
          <x:bgColor rgb="FFFCEAEA"/>
        </x:patternFill>
      </x:fill>
    </x:dxf>
    <x:dxf>
      <x:font>
        <x:b/>
        <x:color rgb="FFD99000"/>
      </x:font>
      <x:fill>
        <x:patternFill patternType="solid">
          <x:bgColor rgb="FFFFF4D6"/>
        </x:patternFill>
      </x:fill>
    </x:dxf>
    <x:dxf>
      <x:font>
        <x:b/>
        <x:color rgb="FF16834B"/>
      </x:font>
      <x:fill>
        <x:patternFill patternType="solid">
          <x:bgColor rgb="FFE8F5EC"/>
        </x:patternFill>
      </x:fill>
    </x:dxf>
    <x:dxf>
      <x:font>
        <x:color rgb="FF64748B"/>
      </x:font>
      <x:fill>
        <x:patternFill patternType="solid">
          <x:bgColor rgb="FFEEF2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ebcdbaa96e4ab2" /><Relationship Type="http://schemas.openxmlformats.org/officeDocument/2006/relationships/theme" Target="/xl/theme/theme1.xml" Id="R3e9abff44abc49ea" /><Relationship Type="http://schemas.openxmlformats.org/officeDocument/2006/relationships/sharedStrings" Target="/xl/sharedStrings.xml" Id="Rad488438d168467e" /><Relationship Type="http://schemas.openxmlformats.org/officeDocument/2006/relationships/worksheet" Target="/xl/worksheets/sheet1.xml" Id="Re56049c73c934934" /><Relationship Type="http://schemas.openxmlformats.org/officeDocument/2006/relationships/worksheet" Target="/xl/worksheets/sheet2.xml" Id="R159b790c98614d75" /><Relationship Type="http://schemas.openxmlformats.org/officeDocument/2006/relationships/worksheet" Target="/xl/worksheets/sheet3.xml" Id="R9c6e46fc46a44402" /><Relationship Type="http://schemas.openxmlformats.org/officeDocument/2006/relationships/worksheet" Target="/xl/worksheets/sheet4.xml" Id="R1ae2ca3ed2404ee3" /><Relationship Type="http://schemas.openxmlformats.org/officeDocument/2006/relationships/worksheet" Target="/xl/worksheets/sheet5.xml" Id="R637fbace6c7d48a4" /><Relationship Type="http://schemas.openxmlformats.org/officeDocument/2006/relationships/worksheet" Target="/xl/worksheets/sheet6.xml" Id="R53f5096b58254bc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c2928d9e6f433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Entradas × saídas por setor (BAGS)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Entradas</c:v>
          </c:tx>
          <c:cat>
            <c:strRef>
              <c:f>'Painel'!$A$12:$A$13</c:f>
              <c:strCache>
                <c:ptCount val="0"/>
              </c:strCache>
            </c:strRef>
          </c:cat>
          <c:val>
            <c:numRef>
              <c:f>'Painel'!$B$12:$B$13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Saídas / consumo</c:v>
          </c:tx>
          <c:cat>
            <c:strRef>
              <c:f>'Painel'!$A$12:$A$13</c:f>
              <c:strCache>
                <c:ptCount val="0"/>
              </c:strCache>
            </c:strRef>
          </c:cat>
          <c:val>
            <c:numRef>
              <c:f>'Painel'!$C$12:$C$13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10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c2928d9e6f433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Movimentacoes" displayName="TabelaMovimentacoes" ref="A4:P504" headerRowCount="1" totalsRowCount="0" totalsRowShown="0">
  <x:tableColumns count="16">
    <x:tableColumn id="1" name="Data"/>
    <x:tableColumn id="2" name="Movimento"/>
    <x:tableColumn id="3" name="Setor"/>
    <x:tableColumn id="4" name="Código"/>
    <x:tableColumn id="5" name="Tipo de BAG / Produto"/>
    <x:tableColumn id="6" name="Lote"/>
    <x:tableColumn id="7" name="Quantidade"/>
    <x:tableColumn id="8" name="Responsável"/>
    <x:tableColumn id="9" name="Observação"/>
    <x:tableColumn id="10" name="Turno"/>
    <x:tableColumn id="11" name="Entrada"/>
    <x:tableColumn id="12" name="Saída"/>
    <x:tableColumn id="13" name="Peso unitário (kg)"/>
    <x:tableColumn id="14" name="Entrada (kg)"/>
    <x:tableColumn id="15" name="Saída (kg)"/>
    <x:tableColumn id="16" name="Conformidade FIF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EstoqueLotes" displayName="TabelaEstoqueLotes" ref="A4:K104" headerRowCount="1" totalsRowCount="0" totalsRowShown="0">
  <x:tableColumns count="11">
    <x:tableColumn id="1" name="Setor"/>
    <x:tableColumn id="2" name="Código"/>
    <x:tableColumn id="3" name="Produto / unidade"/>
    <x:tableColumn id="4" name="Lote"/>
    <x:tableColumn id="5" name="Primeira entrada"/>
    <x:tableColumn id="6" name="Entradas"/>
    <x:tableColumn id="7" name="Saídas"/>
    <x:tableColumn id="8" name="Saldo"/>
    <x:tableColumn id="9" name="Saldo (kg)"/>
    <x:tableColumn id="10" name="Situação"/>
    <x:tableColumn id="11" name="Aler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elaFIFO" displayName="TabelaFIFO" ref="A4:I104" headerRowCount="1" totalsRowCount="0" totalsRowShown="0">
  <x:tableColumns count="9">
    <x:tableColumn id="1" name="Setor"/>
    <x:tableColumn id="2" name="Lote"/>
    <x:tableColumn id="3" name="Primeira entrada"/>
    <x:tableColumn id="4" name="Saldo"/>
    <x:tableColumn id="5" name="Saldo (kg)"/>
    <x:tableColumn id="6" name="Prioridade"/>
    <x:tableColumn id="7" name="Orientação"/>
    <x:tableColumn id="8" name="Código"/>
    <x:tableColumn id="9" name="Produto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33371ce28c549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d198d1f2c946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f04e40332b43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88863bb11546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12" t="str">
        <x:v>CONTROLE DE ESTOQUE E MOVIMENTAÇÕES — BAGS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13" t="str">
        <x:v>Visão automática de entradas, saídas, saldo e conformidade FIFO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5">
      <x:c r="A5" s="14" t="str">
        <x:v>FARINHEIRA — CÓD. 1437</x:v>
      </x:c>
      <x:c r="B5" s="14"/>
      <x:c r="C5" s="14"/>
      <x:c r="E5" s="14" t="str">
        <x:v>COLORÍFICO — CÓD. 1436</x:v>
      </x:c>
      <x:c r="F5" s="14"/>
      <x:c r="G5" s="14"/>
      <x:c r="I5" s="14" t="str">
        <x:v>ALERTAS FIFO</x:v>
      </x:c>
      <x:c r="J5" s="14"/>
    </x:row>
    <x:row r="6">
      <x:c r="A6" s="54" t="n">
        <x:f>SUMIFS('Movimentações'!$K$5:$K$504,'Movimentações'!$C$5:$C$504,"Farinheira")-SUMIFS('Movimentações'!$L$5:$L$504,'Movimentações'!$C$5:$C$504,"Farinheira")</x:f>
        <x:v>50</x:v>
      </x:c>
      <x:c r="B6" s="55"/>
      <x:c r="C6" s="56"/>
      <x:c r="D6" s="53"/>
      <x:c r="E6" s="54" t="n">
        <x:f>SUMIFS('Movimentações'!$K$5:$K$504,'Movimentações'!$C$5:$C$504,"Colorífico")-SUMIFS('Movimentações'!$L$5:$L$504,'Movimentações'!$C$5:$C$504,"Colorífico")</x:f>
        <x:v>29</x:v>
      </x:c>
      <x:c r="F6" s="55"/>
      <x:c r="G6" s="56"/>
      <x:c r="H6" s="53"/>
      <x:c r="I6" s="57" t="n">
        <x:f>COUNTIF('Movimentações'!$P$5:$P$504,"NÃO CONFORME")</x:f>
        <x:v>1</x:v>
      </x:c>
      <x:c r="J6" s="58"/>
    </x:row>
    <x:row r="7">
      <x:c r="A7" s="59"/>
      <x:c r="B7" s="60"/>
      <x:c r="C7" s="61"/>
      <x:c r="D7" s="53"/>
      <x:c r="E7" s="59"/>
      <x:c r="F7" s="60"/>
      <x:c r="G7" s="61"/>
      <x:c r="H7" s="53"/>
      <x:c r="I7" s="62"/>
      <x:c r="J7" s="63"/>
    </x:row>
    <x:row r="8">
      <x:c r="A8" s="51" t="str">
        <x:v>BAGS DISPONÍVEIS</x:v>
      </x:c>
      <x:c r="B8" s="51"/>
      <x:c r="C8" s="51"/>
      <x:c r="E8" s="51" t="str">
        <x:v>BAGS DISPONÍVEIS</x:v>
      </x:c>
      <x:c r="F8" s="51"/>
      <x:c r="G8" s="51"/>
      <x:c r="I8" s="51" t="str">
        <x:v>NÃO CONFORMIDADES</x:v>
      </x:c>
      <x:c r="J8" s="51"/>
    </x:row>
    <x:row r="11">
      <x:c r="A11" s="9" t="str">
        <x:v>Setor</x:v>
      </x:c>
      <x:c r="B11" s="9" t="str">
        <x:v>Entradas</x:v>
      </x:c>
      <x:c r="C11" s="9" t="str">
        <x:v>Saídas / consumo</x:v>
      </x:c>
      <x:c r="D11" s="9" t="str">
        <x:v>Saldo atual</x:v>
      </x:c>
    </x:row>
    <x:row r="12">
      <x:c r="A12" t="str">
        <x:v>Farinheira</x:v>
      </x:c>
      <x:c r="B12" s="53" t="n">
        <x:f>SUMIFS('Movimentações'!$K$5:$K$504,'Movimentações'!$C$5:$C$504,A12)</x:f>
        <x:v>58</x:v>
      </x:c>
      <x:c r="C12" s="53" t="n">
        <x:f>SUMIFS('Movimentações'!$L$5:$L$504,'Movimentações'!$C$5:$C$504,A12)</x:f>
        <x:v>8</x:v>
      </x:c>
      <x:c r="D12" s="53" t="n">
        <x:f>B12-C12</x:f>
        <x:v>50</x:v>
      </x:c>
    </x:row>
    <x:row r="13">
      <x:c r="A13" t="str">
        <x:v>Colorífico</x:v>
      </x:c>
      <x:c r="B13" s="53" t="n">
        <x:f>SUMIFS('Movimentações'!$K$5:$K$504,'Movimentações'!$C$5:$C$504,A13)</x:f>
        <x:v>43</x:v>
      </x:c>
      <x:c r="C13" s="53" t="n">
        <x:f>SUMIFS('Movimentações'!$L$5:$L$504,'Movimentações'!$C$5:$C$504,A13)</x:f>
        <x:v>14</x:v>
      </x:c>
      <x:c r="D13" s="53" t="n">
        <x:f>B13-C13</x:f>
        <x:v>29</x:v>
      </x:c>
    </x:row>
    <x:row r="14">
      <x:c r="A14" t="str">
        <x:v>Farinha para o Flotamil</x:v>
      </x:c>
      <x:c r="B14" s="53" t="n">
        <x:f>SUMIFS('Movimentações'!$K$5:$K$504,'Movimentações'!$C$5:$C$504,A14)</x:f>
        <x:v>1672</x:v>
      </x:c>
      <x:c r="C14" s="53" t="n">
        <x:f>SUMIFS('Movimentações'!$L$5:$L$504,'Movimentações'!$C$5:$C$504,A14)</x:f>
        <x:v>0</x:v>
      </x:c>
      <x:c r="D14" s="53" t="n">
        <x:f>B14-C14</x:f>
        <x:v>1672</x:v>
      </x:c>
    </x:row>
    <x:row r="15">
      <x:c r="B15" s="53"/>
      <x:c r="C15" s="53"/>
      <x:c r="D15" s="53"/>
    </x:row>
    <x:row r="16">
      <x:c r="B16" s="53"/>
      <x:c r="C16" s="53"/>
      <x:c r="D16" s="53"/>
    </x:row>
    <x:row r="17">
      <x:c r="A17" s="9" t="str">
        <x:v>Indicador</x:v>
      </x:c>
      <x:c r="B17" s="64" t="str">
        <x:v>Farinheira</x:v>
      </x:c>
      <x:c r="C17" s="64" t="str">
        <x:v>Colorífico</x:v>
      </x:c>
      <x:c r="D17" s="64" t="str">
        <x:v>Total</x:v>
      </x:c>
    </x:row>
    <x:row r="18">
      <x:c r="A18" t="str">
        <x:v>Entradas (kg)</x:v>
      </x:c>
      <x:c r="B18" s="53" t="n">
        <x:f>SUMIFS('Movimentações'!$N$5:$N$504,'Movimentações'!$C$5:$C$504,"Farinheira")</x:f>
        <x:v>75400</x:v>
      </x:c>
      <x:c r="C18" s="53" t="n">
        <x:f>SUMIFS('Movimentações'!$N$5:$N$504,'Movimentações'!$C$5:$C$504,"Colorífico")</x:f>
        <x:v>53750</x:v>
      </x:c>
      <x:c r="D18" s="53" t="n">
        <x:f>SUM(B18:C18)</x:f>
        <x:v>129150</x:v>
      </x:c>
    </x:row>
    <x:row r="19">
      <x:c r="A19" t="str">
        <x:v>Saídas (kg)</x:v>
      </x:c>
      <x:c r="B19" s="53" t="n">
        <x:f>SUMIFS('Movimentações'!$O$5:$O$504,'Movimentações'!$C$5:$C$504,"Farinheira")</x:f>
        <x:v>10400</x:v>
      </x:c>
      <x:c r="C19" s="53" t="n">
        <x:f>SUMIFS('Movimentações'!$O$5:$O$504,'Movimentações'!$C$5:$C$504,"Colorífico")</x:f>
        <x:v>17500</x:v>
      </x:c>
      <x:c r="D19" s="53" t="n">
        <x:f>SUM(B19:C19)</x:f>
        <x:v>27900</x:v>
      </x:c>
    </x:row>
    <x:row r="20">
      <x:c r="A20" t="str">
        <x:v>Saldo (kg)</x:v>
      </x:c>
      <x:c r="B20" s="53" t="n">
        <x:f>B18-B19</x:f>
        <x:v>65000</x:v>
      </x:c>
      <x:c r="C20" s="53" t="n">
        <x:f>C18-C19</x:f>
        <x:v>36250</x:v>
      </x:c>
      <x:c r="D20" s="53" t="n">
        <x:f>SUM(B20:C20)</x:f>
        <x:v>101250</x:v>
      </x:c>
    </x:row>
  </x:sheetData>
  <x:mergeCells>
    <x:mergeCell ref="A1:J2"/>
    <x:mergeCell ref="A3:J3"/>
    <x:mergeCell ref="A5:C5"/>
    <x:mergeCell ref="A6:C7"/>
    <x:mergeCell ref="A8:C8"/>
    <x:mergeCell ref="E5:G5"/>
    <x:mergeCell ref="E6:G7"/>
    <x:mergeCell ref="E8:G8"/>
    <x:mergeCell ref="I5:J5"/>
    <x:mergeCell ref="I6:J7"/>
    <x:mergeCell ref="I8:J8"/>
  </x:mergeCells>
  <x:pageMargins left="0.7" right="0.7" top="0.75" bottom="0.75" header="0.3" footer="0.3"/>
  <x:drawing xmlns:r="http://schemas.openxmlformats.org/officeDocument/2006/relationships" r:id="R733371ce28c5491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23" hidden="0" customWidth="1"/>
    <x:col min="4" max="4" width="10" hidden="0" customWidth="1"/>
    <x:col min="5" max="5" width="23" hidden="0" customWidth="1"/>
    <x:col min="6" max="6" width="18" hidden="0" customWidth="1"/>
    <x:col min="7" max="7" width="12" hidden="0" customWidth="1"/>
    <x:col min="8" max="8" width="16" hidden="0" customWidth="1"/>
    <x:col min="9" max="9" width="48" hidden="0" customWidth="1"/>
    <x:col min="10" max="10" width="15" hidden="0" customWidth="1"/>
    <x:col min="11" max="11" width="11" hidden="0" customWidth="1"/>
    <x:col min="12" max="12" width="11" hidden="0" customWidth="1"/>
    <x:col min="13" max="13" width="16" hidden="0" customWidth="1"/>
    <x:col min="14" max="14" width="14" hidden="0" customWidth="1"/>
    <x:col min="15" max="15" width="14" hidden="0" customWidth="1"/>
    <x:col min="16" max="16" width="19" hidden="0" customWidth="1"/>
  </x:cols>
  <x:sheetData>
    <x:row r="1" ht="30" customHeight="1">
      <x:c r="A1" s="65" t="str">
        <x:v>REGISTRO DE ENTRADAS, SAÍDAS E CONSUMOS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5" t="str">
        <x:v>Preencha somente as colunas A a J. As colunas K a P são calculadas automaticamente.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4">
      <x:c r="A4" s="9" t="str">
        <x:v>Data</x:v>
      </x:c>
      <x:c r="B4" s="9" t="str">
        <x:v>Movimento</x:v>
      </x:c>
      <x:c r="C4" s="9" t="str">
        <x:v>Setor</x:v>
      </x:c>
      <x:c r="D4" s="9" t="str">
        <x:v>Código</x:v>
      </x:c>
      <x:c r="E4" s="9" t="str">
        <x:v>Tipo de BAG / Produto</x:v>
      </x:c>
      <x:c r="F4" s="9" t="str">
        <x:v>Lote</x:v>
      </x:c>
      <x:c r="G4" s="9" t="str">
        <x:v>Quantidade</x:v>
      </x:c>
      <x:c r="H4" s="9" t="str">
        <x:v>Responsável</x:v>
      </x:c>
      <x:c r="I4" s="9" t="str">
        <x:v>Observação</x:v>
      </x:c>
      <x:c r="J4" s="9" t="str">
        <x:v>Turno</x:v>
      </x:c>
      <x:c r="K4" s="9" t="str">
        <x:v>Entrada</x:v>
      </x:c>
      <x:c r="L4" s="9" t="str">
        <x:v>Saída</x:v>
      </x:c>
      <x:c r="M4" s="9" t="str">
        <x:v>Peso unitário (kg)</x:v>
      </x:c>
      <x:c r="N4" s="9" t="str">
        <x:v>Entrada (kg)</x:v>
      </x:c>
      <x:c r="O4" s="9" t="str">
        <x:v>Saída (kg)</x:v>
      </x:c>
      <x:c r="P4" s="9" t="str">
        <x:v>Conformidade FIFO</x:v>
      </x:c>
    </x:row>
    <x:row r="5">
      <x:c r="A5" s="52" t="n">
        <x:v>46210.708333333336</x:v>
      </x:c>
      <x:c r="B5" t="str">
        <x:v>ENTRADA</x:v>
      </x:c>
      <x:c r="C5" t="str">
        <x:v>Farinheira</x:v>
      </x:c>
      <x:c r="D5" t="str">
        <x:v>1437</x:v>
      </x:c>
      <x:c r="E5" t="str">
        <x:v>Big Bag 1.300 kg</x:v>
      </x:c>
      <x:c r="F5" t="str">
        <x:v>0120G26IT</x:v>
      </x:c>
      <x:c r="G5" s="53" t="n">
        <x:v>3</x:v>
      </x:c>
      <x:c r="H5" t="str">
        <x:v>LUCAS</x:v>
      </x:c>
      <x:c r="I5" t="str"/>
      <x:c r="J5" t="str"/>
      <x:c r="K5" s="53" t="n">
        <x:f>IF(B5="ENTRADA",G5,0)</x:f>
        <x:v>3</x:v>
      </x:c>
      <x:c r="L5" s="53" t="n">
        <x:f>IF(OR(B5="CONSUMO",B5="SAÍDA"),G5,0)</x:f>
        <x:v>0</x:v>
      </x:c>
      <x:c r="M5" s="53" t="n">
        <x:f>IF(C5="Farinheira",'Regras e Listas'!$D$4,IF(C5="Colorífico",'Regras e Listas'!$D$5,IF(C5="Farinha para o Flotamil",'Regras e Listas'!$D$6,0)))</x:f>
        <x:v>1300</x:v>
      </x:c>
      <x:c r="N5" s="53" t="n">
        <x:f>K5*M5</x:f>
        <x:v>3900</x:v>
      </x:c>
      <x:c r="O5" s="53" t="n">
        <x:f>L5*M5</x:f>
        <x:v>0</x:v>
      </x:c>
      <x:c r="P5" t="str">
        <x:f>IF(OR(B5="CONSUMO",B5="SAÍDA"),IF(ISNUMBER(SEARCH("não seguiu FIFO",I5)),"NÃO CONFORME",IF(ISNUMBER(SEARCH("FIFO automático",I5)),"CONFORME","VERIFICAR")),"")</x:f>
      </x:c>
    </x:row>
    <x:row r="6">
      <x:c r="A6" s="52" t="n">
        <x:v>46224.708333333336</x:v>
      </x:c>
      <x:c r="B6" t="str">
        <x:v>ENTRADA</x:v>
      </x:c>
      <x:c r="C6" t="str">
        <x:v>Farinheira</x:v>
      </x:c>
      <x:c r="D6" t="str">
        <x:v>1437</x:v>
      </x:c>
      <x:c r="E6" t="str">
        <x:v>Big Bag 1.300 kg</x:v>
      </x:c>
      <x:c r="F6" t="str">
        <x:v>0305G6IT</x:v>
      </x:c>
      <x:c r="G6" s="53" t="n">
        <x:v>4</x:v>
      </x:c>
      <x:c r="H6" t="str">
        <x:v>LUCAS</x:v>
      </x:c>
      <x:c r="I6" t="str"/>
      <x:c r="J6" t="str"/>
      <x:c r="K6" s="53" t="n">
        <x:f>IF(B6="ENTRADA",G6,0)</x:f>
        <x:v>4</x:v>
      </x:c>
      <x:c r="L6" s="53" t="n">
        <x:f>IF(OR(B6="CONSUMO",B6="SAÍDA"),G6,0)</x:f>
        <x:v>0</x:v>
      </x:c>
      <x:c r="M6" s="53" t="n">
        <x:f>IF(C6="Farinheira",'Regras e Listas'!$D$4,IF(C6="Colorífico",'Regras e Listas'!$D$5,IF(C6="Farinha para o Flotamil",'Regras e Listas'!$D$6,0)))</x:f>
        <x:v>1300</x:v>
      </x:c>
      <x:c r="N6" s="53" t="n">
        <x:f>K6*M6</x:f>
        <x:v>5200</x:v>
      </x:c>
      <x:c r="O6" s="53" t="n">
        <x:f>L6*M6</x:f>
        <x:v>0</x:v>
      </x:c>
      <x:c r="P6" t="str">
        <x:f>IF(OR(B6="CONSUMO",B6="SAÍDA"),IF(ISNUMBER(SEARCH("não seguiu FIFO",I6)),"NÃO CONFORME",IF(ISNUMBER(SEARCH("FIFO automático",I6)),"CONFORME","VERIFICAR")),"")</x:f>
      </x:c>
    </x:row>
    <x:row r="7">
      <x:c r="A7" s="52" t="n">
        <x:v>46237.708333333336</x:v>
      </x:c>
      <x:c r="B7" t="str">
        <x:v>ENTRADA</x:v>
      </x:c>
      <x:c r="C7" t="str">
        <x:v>Farinheira</x:v>
      </x:c>
      <x:c r="D7" t="str">
        <x:v>1437</x:v>
      </x:c>
      <x:c r="E7" t="str">
        <x:v>Big Bag 1.300 kg</x:v>
      </x:c>
      <x:c r="F7" t="str">
        <x:v>0034H26IT</x:v>
      </x:c>
      <x:c r="G7" s="53" t="n">
        <x:v>13</x:v>
      </x:c>
      <x:c r="H7" t="str">
        <x:v>LUCAS</x:v>
      </x:c>
      <x:c r="I7" t="str"/>
      <x:c r="J7" t="str"/>
      <x:c r="K7" s="53" t="n">
        <x:f>IF(B7="ENTRADA",G7,0)</x:f>
        <x:v>13</x:v>
      </x:c>
      <x:c r="L7" s="53" t="n">
        <x:f>IF(OR(B7="CONSUMO",B7="SAÍDA"),G7,0)</x:f>
        <x:v>0</x:v>
      </x:c>
      <x:c r="M7" s="53" t="n">
        <x:f>IF(C7="Farinheira",'Regras e Listas'!$D$4,IF(C7="Colorífico",'Regras e Listas'!$D$5,IF(C7="Farinha para o Flotamil",'Regras e Listas'!$D$6,0)))</x:f>
        <x:v>1300</x:v>
      </x:c>
      <x:c r="N7" s="53" t="n">
        <x:f>K7*M7</x:f>
        <x:v>16900</x:v>
      </x:c>
      <x:c r="O7" s="53" t="n">
        <x:f>L7*M7</x:f>
        <x:v>0</x:v>
      </x:c>
      <x:c r="P7" t="str">
        <x:f>IF(OR(B7="CONSUMO",B7="SAÍDA"),IF(ISNUMBER(SEARCH("não seguiu FIFO",I7)),"NÃO CONFORME",IF(ISNUMBER(SEARCH("FIFO automático",I7)),"CONFORME","VERIFICAR")),"")</x:f>
      </x:c>
    </x:row>
    <x:row r="8">
      <x:c r="A8" s="52" t="n">
        <x:v>46237.708333333336</x:v>
      </x:c>
      <x:c r="B8" t="str">
        <x:v>ENTRADA</x:v>
      </x:c>
      <x:c r="C8" t="str">
        <x:v>Farinheira</x:v>
      </x:c>
      <x:c r="D8" t="str">
        <x:v>1437</x:v>
      </x:c>
      <x:c r="E8" t="str">
        <x:v>Big Bag 1.300 kg</x:v>
      </x:c>
      <x:c r="F8" t="str">
        <x:v>0401G26IT</x:v>
      </x:c>
      <x:c r="G8" s="53" t="n">
        <x:v>5</x:v>
      </x:c>
      <x:c r="H8" t="str">
        <x:v>LUCAS</x:v>
      </x:c>
      <x:c r="I8" t="str"/>
      <x:c r="J8" t="str"/>
      <x:c r="K8" s="53" t="n">
        <x:f>IF(B8="ENTRADA",G8,0)</x:f>
        <x:v>5</x:v>
      </x:c>
      <x:c r="L8" s="53" t="n">
        <x:f>IF(OR(B8="CONSUMO",B8="SAÍDA"),G8,0)</x:f>
        <x:v>0</x:v>
      </x:c>
      <x:c r="M8" s="53" t="n">
        <x:f>IF(C8="Farinheira",'Regras e Listas'!$D$4,IF(C8="Colorífico",'Regras e Listas'!$D$5,IF(C8="Farinha para o Flotamil",'Regras e Listas'!$D$6,0)))</x:f>
        <x:v>1300</x:v>
      </x:c>
      <x:c r="N8" s="53" t="n">
        <x:f>K8*M8</x:f>
        <x:v>6500</x:v>
      </x:c>
      <x:c r="O8" s="53" t="n">
        <x:f>L8*M8</x:f>
        <x:v>0</x:v>
      </x:c>
      <x:c r="P8" t="str">
        <x:f>IF(OR(B8="CONSUMO",B8="SAÍDA"),IF(ISNUMBER(SEARCH("não seguiu FIFO",I8)),"NÃO CONFORME",IF(ISNUMBER(SEARCH("FIFO automático",I8)),"CONFORME","VERIFICAR")),"")</x:f>
      </x:c>
    </x:row>
    <x:row r="9">
      <x:c r="A9" s="52" t="n">
        <x:v>46245.708333333336</x:v>
      </x:c>
      <x:c r="B9" t="str">
        <x:v>ENTRADA</x:v>
      </x:c>
      <x:c r="C9" t="str">
        <x:v>Farinheira</x:v>
      </x:c>
      <x:c r="D9" t="str">
        <x:v>1437</x:v>
      </x:c>
      <x:c r="E9" t="str">
        <x:v>Big Bag 1.300 kg</x:v>
      </x:c>
      <x:c r="F9" t="str">
        <x:v>0146H26IT</x:v>
      </x:c>
      <x:c r="G9" s="53" t="n">
        <x:v>22</x:v>
      </x:c>
      <x:c r="H9" t="str">
        <x:v>LUCAS</x:v>
      </x:c>
      <x:c r="I9" t="str"/>
      <x:c r="J9" t="str"/>
      <x:c r="K9" s="53" t="n">
        <x:f>IF(B9="ENTRADA",G9,0)</x:f>
        <x:v>22</x:v>
      </x:c>
      <x:c r="L9" s="53" t="n">
        <x:f>IF(OR(B9="CONSUMO",B9="SAÍDA"),G9,0)</x:f>
        <x:v>0</x:v>
      </x:c>
      <x:c r="M9" s="53" t="n">
        <x:f>IF(C9="Farinheira",'Regras e Listas'!$D$4,IF(C9="Colorífico",'Regras e Listas'!$D$5,IF(C9="Farinha para o Flotamil",'Regras e Listas'!$D$6,0)))</x:f>
        <x:v>1300</x:v>
      </x:c>
      <x:c r="N9" s="53" t="n">
        <x:f>K9*M9</x:f>
        <x:v>28600</x:v>
      </x:c>
      <x:c r="O9" s="53" t="n">
        <x:f>L9*M9</x:f>
        <x:v>0</x:v>
      </x:c>
      <x:c r="P9" t="str">
        <x:f>IF(OR(B9="CONSUMO",B9="SAÍDA"),IF(ISNUMBER(SEARCH("não seguiu FIFO",I9)),"NÃO CONFORME",IF(ISNUMBER(SEARCH("FIFO automático",I9)),"CONFORME","VERIFICAR")),"")</x:f>
      </x:c>
    </x:row>
    <x:row r="10">
      <x:c r="A10" s="52" t="n">
        <x:v>46247.708333333336</x:v>
      </x:c>
      <x:c r="B10" t="str">
        <x:v>ENTRADA</x:v>
      </x:c>
      <x:c r="C10" t="str">
        <x:v>Colorífico</x:v>
      </x:c>
      <x:c r="D10" t="str">
        <x:v>1436</x:v>
      </x:c>
      <x:c r="E10" t="str">
        <x:v>Big Bag 1.250 kg</x:v>
      </x:c>
      <x:c r="F10" t="str">
        <x:v>NE</x:v>
      </x:c>
      <x:c r="G10" s="53" t="n">
        <x:v>7</x:v>
      </x:c>
      <x:c r="H10" t="str">
        <x:v>LUCAS</x:v>
      </x:c>
      <x:c r="I10" t="str"/>
      <x:c r="J10" t="str"/>
      <x:c r="K10" s="53" t="n">
        <x:f>IF(B10="ENTRADA",G10,0)</x:f>
        <x:v>7</x:v>
      </x:c>
      <x:c r="L10" s="53" t="n">
        <x:f>IF(OR(B10="CONSUMO",B10="SAÍDA"),G10,0)</x:f>
        <x:v>0</x:v>
      </x:c>
      <x:c r="M10" s="53" t="n">
        <x:f>IF(C10="Farinheira",'Regras e Listas'!$D$4,IF(C10="Colorífico",'Regras e Listas'!$D$5,IF(C10="Farinha para o Flotamil",'Regras e Listas'!$D$6,0)))</x:f>
        <x:v>1250</x:v>
      </x:c>
      <x:c r="N10" s="53" t="n">
        <x:f>K10*M10</x:f>
        <x:v>8750</x:v>
      </x:c>
      <x:c r="O10" s="53" t="n">
        <x:f>L10*M10</x:f>
        <x:v>0</x:v>
      </x:c>
      <x:c r="P10" t="str">
        <x:f>IF(OR(B10="CONSUMO",B10="SAÍDA"),IF(ISNUMBER(SEARCH("não seguiu FIFO",I10)),"NÃO CONFORME",IF(ISNUMBER(SEARCH("FIFO automático",I10)),"CONFORME","VERIFICAR")),"")</x:f>
      </x:c>
    </x:row>
    <x:row r="11">
      <x:c r="A11" s="52" t="n">
        <x:v>46247.708333333336</x:v>
      </x:c>
      <x:c r="B11" t="str">
        <x:v>ENTRADA</x:v>
      </x:c>
      <x:c r="C11" t="str">
        <x:v>Colorífico</x:v>
      </x:c>
      <x:c r="D11" t="str">
        <x:v>1436</x:v>
      </x:c>
      <x:c r="E11" t="str">
        <x:v>Big Bag 1.250 kg</x:v>
      </x:c>
      <x:c r="F11" t="str">
        <x:v>0145H26IT</x:v>
      </x:c>
      <x:c r="G11" s="53" t="n">
        <x:v>16</x:v>
      </x:c>
      <x:c r="H11" t="str">
        <x:v>LUCAS</x:v>
      </x:c>
      <x:c r="I11" t="str"/>
      <x:c r="J11" t="str"/>
      <x:c r="K11" s="53" t="n">
        <x:f>IF(B11="ENTRADA",G11,0)</x:f>
        <x:v>16</x:v>
      </x:c>
      <x:c r="L11" s="53" t="n">
        <x:f>IF(OR(B11="CONSUMO",B11="SAÍDA"),G11,0)</x:f>
        <x:v>0</x:v>
      </x:c>
      <x:c r="M11" s="53" t="n">
        <x:f>IF(C11="Farinheira",'Regras e Listas'!$D$4,IF(C11="Colorífico",'Regras e Listas'!$D$5,IF(C11="Farinha para o Flotamil",'Regras e Listas'!$D$6,0)))</x:f>
        <x:v>1250</x:v>
      </x:c>
      <x:c r="N11" s="53" t="n">
        <x:f>K11*M11</x:f>
        <x:v>20000</x:v>
      </x:c>
      <x:c r="O11" s="53" t="n">
        <x:f>L11*M11</x:f>
        <x:v>0</x:v>
      </x:c>
      <x:c r="P11" t="str">
        <x:f>IF(OR(B11="CONSUMO",B11="SAÍDA"),IF(ISNUMBER(SEARCH("não seguiu FIFO",I11)),"NÃO CONFORME",IF(ISNUMBER(SEARCH("FIFO automático",I11)),"CONFORME","VERIFICAR")),"")</x:f>
      </x:c>
    </x:row>
    <x:row r="12">
      <x:c r="A12" s="52" t="n">
        <x:v>46247.708333333336</x:v>
      </x:c>
      <x:c r="B12" t="str">
        <x:v>CONSUMO</x:v>
      </x:c>
      <x:c r="C12" t="str">
        <x:v>Colorífico</x:v>
      </x:c>
      <x:c r="D12" t="str">
        <x:v>1436</x:v>
      </x:c>
      <x:c r="E12" t="str">
        <x:v>Big Bag 1.250 kg</x:v>
      </x:c>
      <x:c r="F12" t="str">
        <x:v>NE</x:v>
      </x:c>
      <x:c r="G12" s="53" t="n">
        <x:v>4</x:v>
      </x:c>
      <x:c r="H12" t="str">
        <x:v>LUCAS</x:v>
      </x:c>
      <x:c r="I12" t="str">
        <x:v>FIFO automático — Turno: 1º Turno</x:v>
      </x:c>
      <x:c r="J12" t="str">
        <x:v>1º Turno</x:v>
      </x:c>
      <x:c r="K12" s="53" t="n">
        <x:f>IF(B12="ENTRADA",G12,0)</x:f>
        <x:v>0</x:v>
      </x:c>
      <x:c r="L12" s="53" t="n">
        <x:f>IF(OR(B12="CONSUMO",B12="SAÍDA"),G12,0)</x:f>
        <x:v>4</x:v>
      </x:c>
      <x:c r="M12" s="53" t="n">
        <x:f>IF(C12="Farinheira",'Regras e Listas'!$D$4,IF(C12="Colorífico",'Regras e Listas'!$D$5,IF(C12="Farinha para o Flotamil",'Regras e Listas'!$D$6,0)))</x:f>
        <x:v>1250</x:v>
      </x:c>
      <x:c r="N12" s="53" t="n">
        <x:f>K12*M12</x:f>
        <x:v>0</x:v>
      </x:c>
      <x:c r="O12" s="53" t="n">
        <x:f>L12*M12</x:f>
        <x:v>5000</x:v>
      </x:c>
      <x:c r="P12" t="str">
        <x:f>IF(OR(B12="CONSUMO",B12="SAÍDA"),IF(ISNUMBER(SEARCH("não seguiu FIFO",I12)),"NÃO CONFORME",IF(ISNUMBER(SEARCH("FIFO automático",I12)),"CONFORME","VERIFICAR")),"")</x:f>
        <x:v>CONFORME</x:v>
      </x:c>
    </x:row>
    <x:row r="13">
      <x:c r="A13" s="52" t="n">
        <x:v>46251.708333333336</x:v>
      </x:c>
      <x:c r="B13" t="str">
        <x:v>ENTRADA</x:v>
      </x:c>
      <x:c r="C13" t="str">
        <x:v>Colorífico</x:v>
      </x:c>
      <x:c r="D13" t="str">
        <x:v>1436</x:v>
      </x:c>
      <x:c r="E13" t="str">
        <x:v>Big Bag 1.250 kg</x:v>
      </x:c>
      <x:c r="F13" t="str">
        <x:v>0145H26IT</x:v>
      </x:c>
      <x:c r="G13" s="53" t="n">
        <x:v>7</x:v>
      </x:c>
      <x:c r="H13" t="str">
        <x:v>LUCAS</x:v>
      </x:c>
      <x:c r="I13" t="str"/>
      <x:c r="J13" t="str"/>
      <x:c r="K13" s="53" t="n">
        <x:f>IF(B13="ENTRADA",G13,0)</x:f>
        <x:v>7</x:v>
      </x:c>
      <x:c r="L13" s="53" t="n">
        <x:f>IF(OR(B13="CONSUMO",B13="SAÍDA"),G13,0)</x:f>
        <x:v>0</x:v>
      </x:c>
      <x:c r="M13" s="53" t="n">
        <x:f>IF(C13="Farinheira",'Regras e Listas'!$D$4,IF(C13="Colorífico",'Regras e Listas'!$D$5,IF(C13="Farinha para o Flotamil",'Regras e Listas'!$D$6,0)))</x:f>
        <x:v>1250</x:v>
      </x:c>
      <x:c r="N13" s="53" t="n">
        <x:f>K13*M13</x:f>
        <x:v>8750</x:v>
      </x:c>
      <x:c r="O13" s="53" t="n">
        <x:f>L13*M13</x:f>
        <x:v>0</x:v>
      </x:c>
      <x:c r="P13" t="str">
        <x:f>IF(OR(B13="CONSUMO",B13="SAÍDA"),IF(ISNUMBER(SEARCH("não seguiu FIFO",I13)),"NÃO CONFORME",IF(ISNUMBER(SEARCH("FIFO automático",I13)),"CONFORME","VERIFICAR")),"")</x:f>
      </x:c>
    </x:row>
    <x:row r="14">
      <x:c r="A14" s="52" t="n">
        <x:v>46251.708333333336</x:v>
      </x:c>
      <x:c r="B14" t="str">
        <x:v>CONSUMO</x:v>
      </x:c>
      <x:c r="C14" t="str">
        <x:v>Colorífico</x:v>
      </x:c>
      <x:c r="D14" t="str">
        <x:v>1436</x:v>
      </x:c>
      <x:c r="E14" t="str">
        <x:v>Big Bag 1.250 kg</x:v>
      </x:c>
      <x:c r="F14" t="str">
        <x:v>NE</x:v>
      </x:c>
      <x:c r="G14" s="53" t="n">
        <x:v>3</x:v>
      </x:c>
      <x:c r="H14" t="str">
        <x:v>LUCAS</x:v>
      </x:c>
      <x:c r="I14" t="str">
        <x:v>FIFO automático — Turno: 1º Turno</x:v>
      </x:c>
      <x:c r="J14" t="str">
        <x:v>1º Turno</x:v>
      </x:c>
      <x:c r="K14" s="53" t="n">
        <x:f>IF(B14="ENTRADA",G14,0)</x:f>
        <x:v>0</x:v>
      </x:c>
      <x:c r="L14" s="53" t="n">
        <x:f>IF(OR(B14="CONSUMO",B14="SAÍDA"),G14,0)</x:f>
        <x:v>3</x:v>
      </x:c>
      <x:c r="M14" s="53" t="n">
        <x:f>IF(C14="Farinheira",'Regras e Listas'!$D$4,IF(C14="Colorífico",'Regras e Listas'!$D$5,IF(C14="Farinha para o Flotamil",'Regras e Listas'!$D$6,0)))</x:f>
        <x:v>1250</x:v>
      </x:c>
      <x:c r="N14" s="53" t="n">
        <x:f>K14*M14</x:f>
        <x:v>0</x:v>
      </x:c>
      <x:c r="O14" s="53" t="n">
        <x:f>L14*M14</x:f>
        <x:v>3750</x:v>
      </x:c>
      <x:c r="P14" t="str">
        <x:f>IF(OR(B14="CONSUMO",B14="SAÍDA"),IF(ISNUMBER(SEARCH("não seguiu FIFO",I14)),"NÃO CONFORME",IF(ISNUMBER(SEARCH("FIFO automático",I14)),"CONFORME","VERIFICAR")),"")</x:f>
        <x:v>CONFORME</x:v>
      </x:c>
    </x:row>
    <x:row r="15">
      <x:c r="A15" s="52" t="n">
        <x:v>46251.708333333336</x:v>
      </x:c>
      <x:c r="B15" t="str">
        <x:v>CONSUMO</x:v>
      </x:c>
      <x:c r="C15" t="str">
        <x:v>Colorífico</x:v>
      </x:c>
      <x:c r="D15" t="str">
        <x:v>1436</x:v>
      </x:c>
      <x:c r="E15" t="str">
        <x:v>Big Bag 1.250 kg</x:v>
      </x:c>
      <x:c r="F15" t="str">
        <x:v>0145H26IT</x:v>
      </x:c>
      <x:c r="G15" s="53" t="n">
        <x:v>2</x:v>
      </x:c>
      <x:c r="H15" t="str">
        <x:v>LUCAS</x:v>
      </x:c>
      <x:c r="I15" t="str">
        <x:v>FIFO automático — Turno: 1º Turno</x:v>
      </x:c>
      <x:c r="J15" t="str">
        <x:v>1º Turno</x:v>
      </x:c>
      <x:c r="K15" s="53" t="n">
        <x:f>IF(B15="ENTRADA",G15,0)</x:f>
        <x:v>0</x:v>
      </x:c>
      <x:c r="L15" s="53" t="n">
        <x:f>IF(OR(B15="CONSUMO",B15="SAÍDA"),G15,0)</x:f>
        <x:v>2</x:v>
      </x:c>
      <x:c r="M15" s="53" t="n">
        <x:f>IF(C15="Farinheira",'Regras e Listas'!$D$4,IF(C15="Colorífico",'Regras e Listas'!$D$5,IF(C15="Farinha para o Flotamil",'Regras e Listas'!$D$6,0)))</x:f>
        <x:v>1250</x:v>
      </x:c>
      <x:c r="N15" s="53" t="n">
        <x:f>K15*M15</x:f>
        <x:v>0</x:v>
      </x:c>
      <x:c r="O15" s="53" t="n">
        <x:f>L15*M15</x:f>
        <x:v>2500</x:v>
      </x:c>
      <x:c r="P15" t="str">
        <x:f>IF(OR(B15="CONSUMO",B15="SAÍDA"),IF(ISNUMBER(SEARCH("não seguiu FIFO",I15)),"NÃO CONFORME",IF(ISNUMBER(SEARCH("FIFO automático",I15)),"CONFORME","VERIFICAR")),"")</x:f>
        <x:v>CONFORME</x:v>
      </x:c>
    </x:row>
    <x:row r="16">
      <x:c r="A16" s="52" t="n">
        <x:v>46251.708333333336</x:v>
      </x:c>
      <x:c r="B16" t="str">
        <x:v>ENTRADA</x:v>
      </x:c>
      <x:c r="C16" t="str">
        <x:v>Farinheira</x:v>
      </x:c>
      <x:c r="D16" t="str">
        <x:v>1437</x:v>
      </x:c>
      <x:c r="E16" t="str">
        <x:v>Big Bag 1.300 kg</x:v>
      </x:c>
      <x:c r="F16" t="str">
        <x:v>0232H26IT</x:v>
      </x:c>
      <x:c r="G16" s="53" t="n">
        <x:v>4</x:v>
      </x:c>
      <x:c r="H16" t="str">
        <x:v>Lucas</x:v>
      </x:c>
      <x:c r="I16" t="str"/>
      <x:c r="J16" t="str"/>
      <x:c r="K16" s="53" t="n">
        <x:f>IF(B16="ENTRADA",G16,0)</x:f>
        <x:v>4</x:v>
      </x:c>
      <x:c r="L16" s="53" t="n">
        <x:f>IF(OR(B16="CONSUMO",B16="SAÍDA"),G16,0)</x:f>
        <x:v>0</x:v>
      </x:c>
      <x:c r="M16" s="53" t="n">
        <x:f>IF(C16="Farinheira",'Regras e Listas'!$D$4,IF(C16="Colorífico",'Regras e Listas'!$D$5,IF(C16="Farinha para o Flotamil",'Regras e Listas'!$D$6,0)))</x:f>
        <x:v>1300</x:v>
      </x:c>
      <x:c r="N16" s="53" t="n">
        <x:f>K16*M16</x:f>
        <x:v>5200</x:v>
      </x:c>
      <x:c r="O16" s="53" t="n">
        <x:f>L16*M16</x:f>
        <x:v>0</x:v>
      </x:c>
      <x:c r="P16" t="str">
        <x:f>IF(OR(B16="CONSUMO",B16="SAÍDA"),IF(ISNUMBER(SEARCH("não seguiu FIFO",I16)),"NÃO CONFORME",IF(ISNUMBER(SEARCH("FIFO automático",I16)),"CONFORME","VERIFICAR")),"")</x:f>
      </x:c>
    </x:row>
    <x:row r="17">
      <x:c r="A17" s="52" t="n">
        <x:v>46252.708333333336</x:v>
      </x:c>
      <x:c r="B17" t="str">
        <x:v>ENTRADA</x:v>
      </x:c>
      <x:c r="C17" t="str">
        <x:v>Farinheira</x:v>
      </x:c>
      <x:c r="D17" t="str">
        <x:v>1437</x:v>
      </x:c>
      <x:c r="E17" t="str">
        <x:v>Big Bag 1.300 kg</x:v>
      </x:c>
      <x:c r="F17" t="str">
        <x:v>0232H26IT</x:v>
      </x:c>
      <x:c r="G17" s="53" t="n">
        <x:v>7</x:v>
      </x:c>
      <x:c r="H17" t="str">
        <x:v>LUCAS</x:v>
      </x:c>
      <x:c r="I17" t="str"/>
      <x:c r="J17" t="str"/>
      <x:c r="K17" s="53" t="n">
        <x:f>IF(B17="ENTRADA",G17,0)</x:f>
        <x:v>7</x:v>
      </x:c>
      <x:c r="L17" s="53" t="n">
        <x:f>IF(OR(B17="CONSUMO",B17="SAÍDA"),G17,0)</x:f>
        <x:v>0</x:v>
      </x:c>
      <x:c r="M17" s="53" t="n">
        <x:f>IF(C17="Farinheira",'Regras e Listas'!$D$4,IF(C17="Colorífico",'Regras e Listas'!$D$5,IF(C17="Farinha para o Flotamil",'Regras e Listas'!$D$6,0)))</x:f>
        <x:v>1300</x:v>
      </x:c>
      <x:c r="N17" s="53" t="n">
        <x:f>K17*M17</x:f>
        <x:v>9100</x:v>
      </x:c>
      <x:c r="O17" s="53" t="n">
        <x:f>L17*M17</x:f>
        <x:v>0</x:v>
      </x:c>
      <x:c r="P17" t="str">
        <x:f>IF(OR(B17="CONSUMO",B17="SAÍDA"),IF(ISNUMBER(SEARCH("não seguiu FIFO",I17)),"NÃO CONFORME",IF(ISNUMBER(SEARCH("FIFO automático",I17)),"CONFORME","VERIFICAR")),"")</x:f>
      </x:c>
    </x:row>
    <x:row r="18">
      <x:c r="A18" s="52" t="n">
        <x:v>46252.708333333336</x:v>
      </x:c>
      <x:c r="B18" t="str">
        <x:v>ENTRADA</x:v>
      </x:c>
      <x:c r="C18" t="str">
        <x:v>Colorífico</x:v>
      </x:c>
      <x:c r="D18" t="str">
        <x:v>1436</x:v>
      </x:c>
      <x:c r="E18" t="str">
        <x:v>Big Bag 1.250 kg</x:v>
      </x:c>
      <x:c r="F18" t="str">
        <x:v>0145H26IT</x:v>
      </x:c>
      <x:c r="G18" s="53" t="n">
        <x:v>6</x:v>
      </x:c>
      <x:c r="H18" t="str">
        <x:v>Lucas</x:v>
      </x:c>
      <x:c r="I18" t="str"/>
      <x:c r="J18" t="str"/>
      <x:c r="K18" s="53" t="n">
        <x:f>IF(B18="ENTRADA",G18,0)</x:f>
        <x:v>6</x:v>
      </x:c>
      <x:c r="L18" s="53" t="n">
        <x:f>IF(OR(B18="CONSUMO",B18="SAÍDA"),G18,0)</x:f>
        <x:v>0</x:v>
      </x:c>
      <x:c r="M18" s="53" t="n">
        <x:f>IF(C18="Farinheira",'Regras e Listas'!$D$4,IF(C18="Colorífico",'Regras e Listas'!$D$5,IF(C18="Farinha para o Flotamil",'Regras e Listas'!$D$6,0)))</x:f>
        <x:v>1250</x:v>
      </x:c>
      <x:c r="N18" s="53" t="n">
        <x:f>K18*M18</x:f>
        <x:v>7500</x:v>
      </x:c>
      <x:c r="O18" s="53" t="n">
        <x:f>L18*M18</x:f>
        <x:v>0</x:v>
      </x:c>
      <x:c r="P18" t="str">
        <x:f>IF(OR(B18="CONSUMO",B18="SAÍDA"),IF(ISNUMBER(SEARCH("não seguiu FIFO",I18)),"NÃO CONFORME",IF(ISNUMBER(SEARCH("FIFO automático",I18)),"CONFORME","VERIFICAR")),"")</x:f>
      </x:c>
    </x:row>
    <x:row r="19">
      <x:c r="A19" s="52" t="n">
        <x:v>46252.708333333336</x:v>
      </x:c>
      <x:c r="B19" t="str">
        <x:v>CONSUMO</x:v>
      </x:c>
      <x:c r="C19" t="str">
        <x:v>Colorífico</x:v>
      </x:c>
      <x:c r="D19" t="str">
        <x:v>1436</x:v>
      </x:c>
      <x:c r="E19" t="str">
        <x:v>Big Bag 1.250 kg</x:v>
      </x:c>
      <x:c r="F19" t="str">
        <x:v>0145H26IT</x:v>
      </x:c>
      <x:c r="G19" s="53" t="n">
        <x:v>5</x:v>
      </x:c>
      <x:c r="H19" t="str">
        <x:v>Lucas</x:v>
      </x:c>
      <x:c r="I19" t="str">
        <x:v>FIFO automático — Turno: 1º Turno</x:v>
      </x:c>
      <x:c r="J19" t="str">
        <x:v>1º Turno</x:v>
      </x:c>
      <x:c r="K19" s="53" t="n">
        <x:f>IF(B19="ENTRADA",G19,0)</x:f>
        <x:v>0</x:v>
      </x:c>
      <x:c r="L19" s="53" t="n">
        <x:f>IF(OR(B19="CONSUMO",B19="SAÍDA"),G19,0)</x:f>
        <x:v>5</x:v>
      </x:c>
      <x:c r="M19" s="53" t="n">
        <x:f>IF(C19="Farinheira",'Regras e Listas'!$D$4,IF(C19="Colorífico",'Regras e Listas'!$D$5,IF(C19="Farinha para o Flotamil",'Regras e Listas'!$D$6,0)))</x:f>
        <x:v>1250</x:v>
      </x:c>
      <x:c r="N19" s="53" t="n">
        <x:f>K19*M19</x:f>
        <x:v>0</x:v>
      </x:c>
      <x:c r="O19" s="53" t="n">
        <x:f>L19*M19</x:f>
        <x:v>6250</x:v>
      </x:c>
      <x:c r="P19" t="str">
        <x:f>IF(OR(B19="CONSUMO",B19="SAÍDA"),IF(ISNUMBER(SEARCH("não seguiu FIFO",I19)),"NÃO CONFORME",IF(ISNUMBER(SEARCH("FIFO automático",I19)),"CONFORME","VERIFICAR")),"")</x:f>
        <x:v>CONFORME</x:v>
      </x:c>
    </x:row>
    <x:row r="20">
      <x:c r="A20" s="52" t="n">
        <x:v>46254.708333333336</x:v>
      </x:c>
      <x:c r="B20" t="str">
        <x:v>CONSUMO</x:v>
      </x:c>
      <x:c r="C20" t="str">
        <x:v>Farinheira</x:v>
      </x:c>
      <x:c r="D20" t="str">
        <x:v>1437</x:v>
      </x:c>
      <x:c r="E20" t="str">
        <x:v>Big Bag 1.300 kg</x:v>
      </x:c>
      <x:c r="F20" t="str">
        <x:v>0120G26IT</x:v>
      </x:c>
      <x:c r="G20" s="53" t="n">
        <x:v>3</x:v>
      </x:c>
      <x:c r="H20" t="str">
        <x:v>Lucas</x:v>
      </x:c>
      <x:c r="I20" t="str">
        <x:v>FIFO automático — Turno: 1º Turno</x:v>
      </x:c>
      <x:c r="J20" t="str">
        <x:v>1º Turno</x:v>
      </x:c>
      <x:c r="K20" s="53" t="n">
        <x:f>IF(B20="ENTRADA",G20,0)</x:f>
        <x:v>0</x:v>
      </x:c>
      <x:c r="L20" s="53" t="n">
        <x:f>IF(OR(B20="CONSUMO",B20="SAÍDA"),G20,0)</x:f>
        <x:v>3</x:v>
      </x:c>
      <x:c r="M20" s="53" t="n">
        <x:f>IF(C20="Farinheira",'Regras e Listas'!$D$4,IF(C20="Colorífico",'Regras e Listas'!$D$5,IF(C20="Farinha para o Flotamil",'Regras e Listas'!$D$6,0)))</x:f>
        <x:v>1300</x:v>
      </x:c>
      <x:c r="N20" s="53" t="n">
        <x:f>K20*M20</x:f>
        <x:v>0</x:v>
      </x:c>
      <x:c r="O20" s="53" t="n">
        <x:f>L20*M20</x:f>
        <x:v>3900</x:v>
      </x:c>
      <x:c r="P20" t="str">
        <x:f>IF(OR(B20="CONSUMO",B20="SAÍDA"),IF(ISNUMBER(SEARCH("não seguiu FIFO",I20)),"NÃO CONFORME",IF(ISNUMBER(SEARCH("FIFO automático",I20)),"CONFORME","VERIFICAR")),"")</x:f>
        <x:v>CONFORME</x:v>
      </x:c>
    </x:row>
    <x:row r="21">
      <x:c r="A21" s="52" t="n">
        <x:v>46254.708333333336</x:v>
      </x:c>
      <x:c r="B21" t="str">
        <x:v>CONSUMO</x:v>
      </x:c>
      <x:c r="C21" t="str">
        <x:v>Farinheira</x:v>
      </x:c>
      <x:c r="D21" t="str">
        <x:v>1437</x:v>
      </x:c>
      <x:c r="E21" t="str">
        <x:v>Big Bag 1.300 kg</x:v>
      </x:c>
      <x:c r="F21" t="str">
        <x:v>0305G6IT</x:v>
      </x:c>
      <x:c r="G21" s="53" t="n">
        <x:v>4</x:v>
      </x:c>
      <x:c r="H21" t="str">
        <x:v>Lucas</x:v>
      </x:c>
      <x:c r="I21" t="str">
        <x:v>FIFO automático — Turno: 1º Turno</x:v>
      </x:c>
      <x:c r="J21" t="str">
        <x:v>1º Turno</x:v>
      </x:c>
      <x:c r="K21" s="53" t="n">
        <x:f>IF(B21="ENTRADA",G21,0)</x:f>
        <x:v>0</x:v>
      </x:c>
      <x:c r="L21" s="53" t="n">
        <x:f>IF(OR(B21="CONSUMO",B21="SAÍDA"),G21,0)</x:f>
        <x:v>4</x:v>
      </x:c>
      <x:c r="M21" s="53" t="n">
        <x:f>IF(C21="Farinheira",'Regras e Listas'!$D$4,IF(C21="Colorífico",'Regras e Listas'!$D$5,IF(C21="Farinha para o Flotamil",'Regras e Listas'!$D$6,0)))</x:f>
        <x:v>1300</x:v>
      </x:c>
      <x:c r="N21" s="53" t="n">
        <x:f>K21*M21</x:f>
        <x:v>0</x:v>
      </x:c>
      <x:c r="O21" s="53" t="n">
        <x:f>L21*M21</x:f>
        <x:v>5200</x:v>
      </x:c>
      <x:c r="P21" t="str">
        <x:f>IF(OR(B21="CONSUMO",B21="SAÍDA"),IF(ISNUMBER(SEARCH("não seguiu FIFO",I21)),"NÃO CONFORME",IF(ISNUMBER(SEARCH("FIFO automático",I21)),"CONFORME","VERIFICAR")),"")</x:f>
        <x:v>CONFORME</x:v>
      </x:c>
    </x:row>
    <x:row r="22">
      <x:c r="A22" s="52" t="n">
        <x:v>46254.708333333336</x:v>
      </x:c>
      <x:c r="B22" t="str">
        <x:v>CONSUMO</x:v>
      </x:c>
      <x:c r="C22" t="str">
        <x:v>Farinheira</x:v>
      </x:c>
      <x:c r="D22" t="str">
        <x:v>1437</x:v>
      </x:c>
      <x:c r="E22" t="str">
        <x:v>Big Bag 1.300 kg</x:v>
      </x:c>
      <x:c r="F22" t="str">
        <x:v>0401G26IT</x:v>
      </x:c>
      <x:c r="G22" s="53" t="n">
        <x:v>1</x:v>
      </x:c>
      <x:c r="H22" t="str"/>
      <x:c r="I22" t="str">
        <x:v>Lote informado manualmente — operador não seguiu FIFO — Turno: 2º Turno</x:v>
      </x:c>
      <x:c r="J22" t="str">
        <x:v>2º Turno</x:v>
      </x:c>
      <x:c r="K22" s="53" t="n">
        <x:f>IF(B22="ENTRADA",G22,0)</x:f>
        <x:v>0</x:v>
      </x:c>
      <x:c r="L22" s="53" t="n">
        <x:f>IF(OR(B22="CONSUMO",B22="SAÍDA"),G22,0)</x:f>
        <x:v>1</x:v>
      </x:c>
      <x:c r="M22" s="53" t="n">
        <x:f>IF(C22="Farinheira",'Regras e Listas'!$D$4,IF(C22="Colorífico",'Regras e Listas'!$D$5,IF(C22="Farinha para o Flotamil",'Regras e Listas'!$D$6,0)))</x:f>
        <x:v>1300</x:v>
      </x:c>
      <x:c r="N22" s="53" t="n">
        <x:f>K22*M22</x:f>
        <x:v>0</x:v>
      </x:c>
      <x:c r="O22" s="53" t="n">
        <x:f>L22*M22</x:f>
        <x:v>1300</x:v>
      </x:c>
      <x:c r="P22" t="str">
        <x:f>IF(OR(B22="CONSUMO",B22="SAÍDA"),IF(ISNUMBER(SEARCH("não seguiu FIFO",I22)),"NÃO CONFORME",IF(ISNUMBER(SEARCH("FIFO automático",I22)),"CONFORME","VERIFICAR")),"")</x:f>
        <x:v>NÃO CONFORME</x:v>
      </x:c>
    </x:row>
    <x:row r="23">
      <x:c r="A23" s="52" t="n">
        <x:v>46254.708333333336</x:v>
      </x:c>
      <x:c r="B23" t="str">
        <x:v>ENTRADA</x:v>
      </x:c>
      <x:c r="C23" t="str">
        <x:v>Colorífico</x:v>
      </x:c>
      <x:c r="D23" t="str">
        <x:v>1436</x:v>
      </x:c>
      <x:c r="E23" t="str">
        <x:v>Big Bag 1.250 kg</x:v>
      </x:c>
      <x:c r="F23" t="str">
        <x:v>0231H26IT</x:v>
      </x:c>
      <x:c r="G23" s="53" t="n">
        <x:v>6</x:v>
      </x:c>
      <x:c r="H23" t="str">
        <x:v>Lucas</x:v>
      </x:c>
      <x:c r="I23" t="str"/>
      <x:c r="J23" t="str"/>
      <x:c r="K23" s="53" t="n">
        <x:f>IF(B23="ENTRADA",G23,0)</x:f>
        <x:v>6</x:v>
      </x:c>
      <x:c r="L23" s="53" t="n">
        <x:f>IF(OR(B23="CONSUMO",B23="SAÍDA"),G23,0)</x:f>
        <x:v>0</x:v>
      </x:c>
      <x:c r="M23" s="53" t="n">
        <x:f>IF(C23="Farinheira",'Regras e Listas'!$D$4,IF(C23="Colorífico",'Regras e Listas'!$D$5,IF(C23="Farinha para o Flotamil",'Regras e Listas'!$D$6,0)))</x:f>
        <x:v>1250</x:v>
      </x:c>
      <x:c r="N23" s="53" t="n">
        <x:f>K23*M23</x:f>
        <x:v>7500</x:v>
      </x:c>
      <x:c r="O23" s="53" t="n">
        <x:f>L23*M23</x:f>
        <x:v>0</x:v>
      </x:c>
      <x:c r="P23" t="str">
        <x:f>IF(OR(B23="CONSUMO",B23="SAÍDA"),IF(ISNUMBER(SEARCH("não seguiu FIFO",I23)),"NÃO CONFORME",IF(ISNUMBER(SEARCH("FIFO automático",I23)),"CONFORME","VERIFICAR")),"")</x:f>
      </x:c>
    </x:row>
    <x:row r="24">
      <x:c r="A24" s="52" t="n">
        <x:v>46254.708333333336</x:v>
      </x:c>
      <x:c r="B24" t="str">
        <x:v>ENTRADA</x:v>
      </x:c>
      <x:c r="C24" t="str">
        <x:v>Colorífico</x:v>
      </x:c>
      <x:c r="D24" t="str">
        <x:v>1436</x:v>
      </x:c>
      <x:c r="E24" t="str">
        <x:v>Big Bag 1.250 kg</x:v>
      </x:c>
      <x:c r="F24" t="str">
        <x:v>0145H26IT</x:v>
      </x:c>
      <x:c r="G24" s="53" t="n">
        <x:v>1</x:v>
      </x:c>
      <x:c r="H24" t="str">
        <x:v>Lucas</x:v>
      </x:c>
      <x:c r="I24" t="str"/>
      <x:c r="J24" t="str"/>
      <x:c r="K24" s="53" t="n">
        <x:f>IF(B24="ENTRADA",G24,0)</x:f>
        <x:v>1</x:v>
      </x:c>
      <x:c r="L24" s="53" t="n">
        <x:f>IF(OR(B24="CONSUMO",B24="SAÍDA"),G24,0)</x:f>
        <x:v>0</x:v>
      </x:c>
      <x:c r="M24" s="53" t="n">
        <x:f>IF(C24="Farinheira",'Regras e Listas'!$D$4,IF(C24="Colorífico",'Regras e Listas'!$D$5,IF(C24="Farinha para o Flotamil",'Regras e Listas'!$D$6,0)))</x:f>
        <x:v>1250</x:v>
      </x:c>
      <x:c r="N24" s="53" t="n">
        <x:f>K24*M24</x:f>
        <x:v>1250</x:v>
      </x:c>
      <x:c r="O24" s="53" t="n">
        <x:f>L24*M24</x:f>
        <x:v>0</x:v>
      </x:c>
      <x:c r="P24" t="str">
        <x:f>IF(OR(B24="CONSUMO",B24="SAÍDA"),IF(ISNUMBER(SEARCH("não seguiu FIFO",I24)),"NÃO CONFORME",IF(ISNUMBER(SEARCH("FIFO automático",I24)),"CONFORME","VERIFICAR")),"")</x:f>
      </x:c>
    </x:row>
    <x:row r="25">
      <x:c r="A25" s="52" t="n">
        <x:v>46254.708333333336</x:v>
      </x:c>
      <x:c r="B25" t="str">
        <x:v>ENTRADA</x:v>
      </x:c>
      <x:c r="C25" t="str">
        <x:v>Farinha para o Flotamil</x:v>
      </x:c>
      <x:c r="D25" t="str">
        <x:v>691</x:v>
      </x:c>
      <x:c r="E25" t="str">
        <x:v>Farinha</x:v>
      </x:c>
      <x:c r="F25" t="str">
        <x:v>FLOTAMIL-20260820</x:v>
      </x:c>
      <x:c r="G25" s="53" t="n">
        <x:v>1672</x:v>
      </x:c>
      <x:c r="H25" t="str">
        <x:v>Lucas</x:v>
      </x:c>
      <x:c r="I25" t="str">
        <x:v>ENTRADA NO SALDO | Produto: Farinha — código 691 | Palete 1: 418 kg | Palete 2: 418 kg | Palete 3: 418 kg | Palete 4: 418 kg</x:v>
      </x:c>
      <x:c r="J25" t="str"/>
      <x:c r="K25" s="53" t="n">
        <x:f>IF(B25="ENTRADA",G25,0)</x:f>
        <x:v>1672</x:v>
      </x:c>
      <x:c r="L25" s="53" t="n">
        <x:f>IF(OR(B25="CONSUMO",B25="SAÍDA"),G25,0)</x:f>
        <x:v>0</x:v>
      </x:c>
      <x:c r="M25" s="53" t="n">
        <x:f>IF(C25="Farinheira",'Regras e Listas'!$D$4,IF(C25="Colorífico",'Regras e Listas'!$D$5,IF(C25="Farinha para o Flotamil",'Regras e Listas'!$D$6,0)))</x:f>
        <x:v>1</x:v>
      </x:c>
      <x:c r="N25" s="53" t="n">
        <x:f>K25*M25</x:f>
        <x:v>1672</x:v>
      </x:c>
      <x:c r="O25" s="53" t="n">
        <x:f>L25*M25</x:f>
        <x:v>0</x:v>
      </x:c>
      <x:c r="P25" t="str">
        <x:f>IF(OR(B25="CONSUMO",B25="SAÍDA"),IF(ISNUMBER(SEARCH("não seguiu FIFO",I25)),"NÃO CONFORME",IF(ISNUMBER(SEARCH("FIFO automático",I25)),"CONFORME","VERIFICAR")),"")</x:f>
      </x:c>
    </x:row>
    <x:row r="26">
      <x:c r="A26" s="52"/>
      <x:c r="G26" s="53"/>
      <x:c r="K26" s="53" t="n">
        <x:f>IF(B26="ENTRADA",G26,0)</x:f>
        <x:v>0</x:v>
      </x:c>
      <x:c r="L26" s="53" t="n">
        <x:f>IF(OR(B26="CONSUMO",B26="SAÍDA"),G26,0)</x:f>
        <x:v>0</x:v>
      </x:c>
      <x:c r="M26" s="53" t="n">
        <x:f>IF(C26="Farinheira",'Regras e Listas'!$D$4,IF(C26="Colorífico",'Regras e Listas'!$D$5,IF(C26="Farinha para o Flotamil",'Regras e Listas'!$D$6,0)))</x:f>
        <x:v>0</x:v>
      </x:c>
      <x:c r="N26" s="53" t="n">
        <x:f>K26*M26</x:f>
        <x:v>0</x:v>
      </x:c>
      <x:c r="O26" s="53" t="n">
        <x:f>L26*M26</x:f>
        <x:v>0</x:v>
      </x:c>
      <x:c r="P26" t="str">
        <x:f>IF(OR(B26="CONSUMO",B26="SAÍDA"),IF(ISNUMBER(SEARCH("não seguiu FIFO",I26)),"NÃO CONFORME",IF(ISNUMBER(SEARCH("FIFO automático",I26)),"CONFORME","VERIFICAR")),"")</x:f>
      </x:c>
    </x:row>
    <x:row r="27">
      <x:c r="A27" s="52"/>
      <x:c r="G27" s="53"/>
      <x:c r="K27" s="53" t="n">
        <x:f>IF(B27="ENTRADA",G27,0)</x:f>
        <x:v>0</x:v>
      </x:c>
      <x:c r="L27" s="53" t="n">
        <x:f>IF(OR(B27="CONSUMO",B27="SAÍDA"),G27,0)</x:f>
        <x:v>0</x:v>
      </x:c>
      <x:c r="M27" s="53" t="n">
        <x:f>IF(C27="Farinheira",'Regras e Listas'!$D$4,IF(C27="Colorífico",'Regras e Listas'!$D$5,IF(C27="Farinha para o Flotamil",'Regras e Listas'!$D$6,0)))</x:f>
        <x:v>0</x:v>
      </x:c>
      <x:c r="N27" s="53" t="n">
        <x:f>K27*M27</x:f>
        <x:v>0</x:v>
      </x:c>
      <x:c r="O27" s="53" t="n">
        <x:f>L27*M27</x:f>
        <x:v>0</x:v>
      </x:c>
      <x:c r="P27" t="str">
        <x:f>IF(OR(B27="CONSUMO",B27="SAÍDA"),IF(ISNUMBER(SEARCH("não seguiu FIFO",I27)),"NÃO CONFORME",IF(ISNUMBER(SEARCH("FIFO automático",I27)),"CONFORME","VERIFICAR")),"")</x:f>
      </x:c>
    </x:row>
    <x:row r="28">
      <x:c r="A28" s="52"/>
      <x:c r="G28" s="53"/>
      <x:c r="K28" s="53" t="n">
        <x:f>IF(B28="ENTRADA",G28,0)</x:f>
        <x:v>0</x:v>
      </x:c>
      <x:c r="L28" s="53" t="n">
        <x:f>IF(OR(B28="CONSUMO",B28="SAÍDA"),G28,0)</x:f>
        <x:v>0</x:v>
      </x:c>
      <x:c r="M28" s="53" t="n">
        <x:f>IF(C28="Farinheira",'Regras e Listas'!$D$4,IF(C28="Colorífico",'Regras e Listas'!$D$5,IF(C28="Farinha para o Flotamil",'Regras e Listas'!$D$6,0)))</x:f>
        <x:v>0</x:v>
      </x:c>
      <x:c r="N28" s="53" t="n">
        <x:f>K28*M28</x:f>
        <x:v>0</x:v>
      </x:c>
      <x:c r="O28" s="53" t="n">
        <x:f>L28*M28</x:f>
        <x:v>0</x:v>
      </x:c>
      <x:c r="P28" t="str">
        <x:f>IF(OR(B28="CONSUMO",B28="SAÍDA"),IF(ISNUMBER(SEARCH("não seguiu FIFO",I28)),"NÃO CONFORME",IF(ISNUMBER(SEARCH("FIFO automático",I28)),"CONFORME","VERIFICAR")),"")</x:f>
      </x:c>
    </x:row>
    <x:row r="29">
      <x:c r="A29" s="52"/>
      <x:c r="G29" s="53"/>
      <x:c r="K29" s="53" t="n">
        <x:f>IF(B29="ENTRADA",G29,0)</x:f>
        <x:v>0</x:v>
      </x:c>
      <x:c r="L29" s="53" t="n">
        <x:f>IF(OR(B29="CONSUMO",B29="SAÍDA"),G29,0)</x:f>
        <x:v>0</x:v>
      </x:c>
      <x:c r="M29" s="53" t="n">
        <x:f>IF(C29="Farinheira",'Regras e Listas'!$D$4,IF(C29="Colorífico",'Regras e Listas'!$D$5,IF(C29="Farinha para o Flotamil",'Regras e Listas'!$D$6,0)))</x:f>
        <x:v>0</x:v>
      </x:c>
      <x:c r="N29" s="53" t="n">
        <x:f>K29*M29</x:f>
        <x:v>0</x:v>
      </x:c>
      <x:c r="O29" s="53" t="n">
        <x:f>L29*M29</x:f>
        <x:v>0</x:v>
      </x:c>
      <x:c r="P29" t="str">
        <x:f>IF(OR(B29="CONSUMO",B29="SAÍDA"),IF(ISNUMBER(SEARCH("não seguiu FIFO",I29)),"NÃO CONFORME",IF(ISNUMBER(SEARCH("FIFO automático",I29)),"CONFORME","VERIFICAR")),"")</x:f>
      </x:c>
    </x:row>
    <x:row r="30">
      <x:c r="A30" s="52"/>
      <x:c r="G30" s="53"/>
      <x:c r="K30" s="53" t="n">
        <x:f>IF(B30="ENTRADA",G30,0)</x:f>
        <x:v>0</x:v>
      </x:c>
      <x:c r="L30" s="53" t="n">
        <x:f>IF(OR(B30="CONSUMO",B30="SAÍDA"),G30,0)</x:f>
        <x:v>0</x:v>
      </x:c>
      <x:c r="M30" s="53" t="n">
        <x:f>IF(C30="Farinheira",'Regras e Listas'!$D$4,IF(C30="Colorífico",'Regras e Listas'!$D$5,IF(C30="Farinha para o Flotamil",'Regras e Listas'!$D$6,0)))</x:f>
        <x:v>0</x:v>
      </x:c>
      <x:c r="N30" s="53" t="n">
        <x:f>K30*M30</x:f>
        <x:v>0</x:v>
      </x:c>
      <x:c r="O30" s="53" t="n">
        <x:f>L30*M30</x:f>
        <x:v>0</x:v>
      </x:c>
      <x:c r="P30" t="str">
        <x:f>IF(OR(B30="CONSUMO",B30="SAÍDA"),IF(ISNUMBER(SEARCH("não seguiu FIFO",I30)),"NÃO CONFORME",IF(ISNUMBER(SEARCH("FIFO automático",I30)),"CONFORME","VERIFICAR")),"")</x:f>
      </x:c>
    </x:row>
    <x:row r="31">
      <x:c r="A31" s="52"/>
      <x:c r="G31" s="53"/>
      <x:c r="K31" s="53" t="n">
        <x:f>IF(B31="ENTRADA",G31,0)</x:f>
        <x:v>0</x:v>
      </x:c>
      <x:c r="L31" s="53" t="n">
        <x:f>IF(OR(B31="CONSUMO",B31="SAÍDA"),G31,0)</x:f>
        <x:v>0</x:v>
      </x:c>
      <x:c r="M31" s="53" t="n">
        <x:f>IF(C31="Farinheira",'Regras e Listas'!$D$4,IF(C31="Colorífico",'Regras e Listas'!$D$5,IF(C31="Farinha para o Flotamil",'Regras e Listas'!$D$6,0)))</x:f>
        <x:v>0</x:v>
      </x:c>
      <x:c r="N31" s="53" t="n">
        <x:f>K31*M31</x:f>
        <x:v>0</x:v>
      </x:c>
      <x:c r="O31" s="53" t="n">
        <x:f>L31*M31</x:f>
        <x:v>0</x:v>
      </x:c>
      <x:c r="P31" t="str">
        <x:f>IF(OR(B31="CONSUMO",B31="SAÍDA"),IF(ISNUMBER(SEARCH("não seguiu FIFO",I31)),"NÃO CONFORME",IF(ISNUMBER(SEARCH("FIFO automático",I31)),"CONFORME","VERIFICAR")),"")</x:f>
      </x:c>
    </x:row>
    <x:row r="32">
      <x:c r="A32" s="52"/>
      <x:c r="G32" s="53"/>
      <x:c r="K32" s="53" t="n">
        <x:f>IF(B32="ENTRADA",G32,0)</x:f>
        <x:v>0</x:v>
      </x:c>
      <x:c r="L32" s="53" t="n">
        <x:f>IF(OR(B32="CONSUMO",B32="SAÍDA"),G32,0)</x:f>
        <x:v>0</x:v>
      </x:c>
      <x:c r="M32" s="53" t="n">
        <x:f>IF(C32="Farinheira",'Regras e Listas'!$D$4,IF(C32="Colorífico",'Regras e Listas'!$D$5,IF(C32="Farinha para o Flotamil",'Regras e Listas'!$D$6,0)))</x:f>
        <x:v>0</x:v>
      </x:c>
      <x:c r="N32" s="53" t="n">
        <x:f>K32*M32</x:f>
        <x:v>0</x:v>
      </x:c>
      <x:c r="O32" s="53" t="n">
        <x:f>L32*M32</x:f>
        <x:v>0</x:v>
      </x:c>
      <x:c r="P32" t="str">
        <x:f>IF(OR(B32="CONSUMO",B32="SAÍDA"),IF(ISNUMBER(SEARCH("não seguiu FIFO",I32)),"NÃO CONFORME",IF(ISNUMBER(SEARCH("FIFO automático",I32)),"CONFORME","VERIFICAR")),"")</x:f>
      </x:c>
    </x:row>
    <x:row r="33">
      <x:c r="A33" s="52"/>
      <x:c r="G33" s="53"/>
      <x:c r="K33" s="53" t="n">
        <x:f>IF(B33="ENTRADA",G33,0)</x:f>
        <x:v>0</x:v>
      </x:c>
      <x:c r="L33" s="53" t="n">
        <x:f>IF(OR(B33="CONSUMO",B33="SAÍDA"),G33,0)</x:f>
        <x:v>0</x:v>
      </x:c>
      <x:c r="M33" s="53" t="n">
        <x:f>IF(C33="Farinheira",'Regras e Listas'!$D$4,IF(C33="Colorífico",'Regras e Listas'!$D$5,IF(C33="Farinha para o Flotamil",'Regras e Listas'!$D$6,0)))</x:f>
        <x:v>0</x:v>
      </x:c>
      <x:c r="N33" s="53" t="n">
        <x:f>K33*M33</x:f>
        <x:v>0</x:v>
      </x:c>
      <x:c r="O33" s="53" t="n">
        <x:f>L33*M33</x:f>
        <x:v>0</x:v>
      </x:c>
      <x:c r="P33" t="str">
        <x:f>IF(OR(B33="CONSUMO",B33="SAÍDA"),IF(ISNUMBER(SEARCH("não seguiu FIFO",I33)),"NÃO CONFORME",IF(ISNUMBER(SEARCH("FIFO automático",I33)),"CONFORME","VERIFICAR")),"")</x:f>
      </x:c>
    </x:row>
    <x:row r="34">
      <x:c r="A34" s="52"/>
      <x:c r="G34" s="53"/>
      <x:c r="K34" s="53" t="n">
        <x:f>IF(B34="ENTRADA",G34,0)</x:f>
        <x:v>0</x:v>
      </x:c>
      <x:c r="L34" s="53" t="n">
        <x:f>IF(OR(B34="CONSUMO",B34="SAÍDA"),G34,0)</x:f>
        <x:v>0</x:v>
      </x:c>
      <x:c r="M34" s="53" t="n">
        <x:f>IF(C34="Farinheira",'Regras e Listas'!$D$4,IF(C34="Colorífico",'Regras e Listas'!$D$5,IF(C34="Farinha para o Flotamil",'Regras e Listas'!$D$6,0)))</x:f>
        <x:v>0</x:v>
      </x:c>
      <x:c r="N34" s="53" t="n">
        <x:f>K34*M34</x:f>
        <x:v>0</x:v>
      </x:c>
      <x:c r="O34" s="53" t="n">
        <x:f>L34*M34</x:f>
        <x:v>0</x:v>
      </x:c>
      <x:c r="P34" t="str">
        <x:f>IF(OR(B34="CONSUMO",B34="SAÍDA"),IF(ISNUMBER(SEARCH("não seguiu FIFO",I34)),"NÃO CONFORME",IF(ISNUMBER(SEARCH("FIFO automático",I34)),"CONFORME","VERIFICAR")),"")</x:f>
      </x:c>
    </x:row>
    <x:row r="35">
      <x:c r="A35" s="52"/>
      <x:c r="G35" s="53"/>
      <x:c r="K35" s="53" t="n">
        <x:f>IF(B35="ENTRADA",G35,0)</x:f>
        <x:v>0</x:v>
      </x:c>
      <x:c r="L35" s="53" t="n">
        <x:f>IF(OR(B35="CONSUMO",B35="SAÍDA"),G35,0)</x:f>
        <x:v>0</x:v>
      </x:c>
      <x:c r="M35" s="53" t="n">
        <x:f>IF(C35="Farinheira",'Regras e Listas'!$D$4,IF(C35="Colorífico",'Regras e Listas'!$D$5,IF(C35="Farinha para o Flotamil",'Regras e Listas'!$D$6,0)))</x:f>
        <x:v>0</x:v>
      </x:c>
      <x:c r="N35" s="53" t="n">
        <x:f>K35*M35</x:f>
        <x:v>0</x:v>
      </x:c>
      <x:c r="O35" s="53" t="n">
        <x:f>L35*M35</x:f>
        <x:v>0</x:v>
      </x:c>
      <x:c r="P35" t="str">
        <x:f>IF(OR(B35="CONSUMO",B35="SAÍDA"),IF(ISNUMBER(SEARCH("não seguiu FIFO",I35)),"NÃO CONFORME",IF(ISNUMBER(SEARCH("FIFO automático",I35)),"CONFORME","VERIFICAR")),"")</x:f>
      </x:c>
    </x:row>
    <x:row r="36">
      <x:c r="A36" s="52"/>
      <x:c r="G36" s="53"/>
      <x:c r="K36" s="53" t="n">
        <x:f>IF(B36="ENTRADA",G36,0)</x:f>
        <x:v>0</x:v>
      </x:c>
      <x:c r="L36" s="53" t="n">
        <x:f>IF(OR(B36="CONSUMO",B36="SAÍDA"),G36,0)</x:f>
        <x:v>0</x:v>
      </x:c>
      <x:c r="M36" s="53" t="n">
        <x:f>IF(C36="Farinheira",'Regras e Listas'!$D$4,IF(C36="Colorífico",'Regras e Listas'!$D$5,IF(C36="Farinha para o Flotamil",'Regras e Listas'!$D$6,0)))</x:f>
        <x:v>0</x:v>
      </x:c>
      <x:c r="N36" s="53" t="n">
        <x:f>K36*M36</x:f>
        <x:v>0</x:v>
      </x:c>
      <x:c r="O36" s="53" t="n">
        <x:f>L36*M36</x:f>
        <x:v>0</x:v>
      </x:c>
      <x:c r="P36" t="str">
        <x:f>IF(OR(B36="CONSUMO",B36="SAÍDA"),IF(ISNUMBER(SEARCH("não seguiu FIFO",I36)),"NÃO CONFORME",IF(ISNUMBER(SEARCH("FIFO automático",I36)),"CONFORME","VERIFICAR")),"")</x:f>
      </x:c>
    </x:row>
    <x:row r="37">
      <x:c r="A37" s="52"/>
      <x:c r="G37" s="53"/>
      <x:c r="K37" s="53" t="n">
        <x:f>IF(B37="ENTRADA",G37,0)</x:f>
        <x:v>0</x:v>
      </x:c>
      <x:c r="L37" s="53" t="n">
        <x:f>IF(OR(B37="CONSUMO",B37="SAÍDA"),G37,0)</x:f>
        <x:v>0</x:v>
      </x:c>
      <x:c r="M37" s="53" t="n">
        <x:f>IF(C37="Farinheira",'Regras e Listas'!$D$4,IF(C37="Colorífico",'Regras e Listas'!$D$5,IF(C37="Farinha para o Flotamil",'Regras e Listas'!$D$6,0)))</x:f>
        <x:v>0</x:v>
      </x:c>
      <x:c r="N37" s="53" t="n">
        <x:f>K37*M37</x:f>
        <x:v>0</x:v>
      </x:c>
      <x:c r="O37" s="53" t="n">
        <x:f>L37*M37</x:f>
        <x:v>0</x:v>
      </x:c>
      <x:c r="P37" t="str">
        <x:f>IF(OR(B37="CONSUMO",B37="SAÍDA"),IF(ISNUMBER(SEARCH("não seguiu FIFO",I37)),"NÃO CONFORME",IF(ISNUMBER(SEARCH("FIFO automático",I37)),"CONFORME","VERIFICAR")),"")</x:f>
      </x:c>
    </x:row>
    <x:row r="38">
      <x:c r="A38" s="52"/>
      <x:c r="G38" s="53"/>
      <x:c r="K38" s="53" t="n">
        <x:f>IF(B38="ENTRADA",G38,0)</x:f>
        <x:v>0</x:v>
      </x:c>
      <x:c r="L38" s="53" t="n">
        <x:f>IF(OR(B38="CONSUMO",B38="SAÍDA"),G38,0)</x:f>
        <x:v>0</x:v>
      </x:c>
      <x:c r="M38" s="53" t="n">
        <x:f>IF(C38="Farinheira",'Regras e Listas'!$D$4,IF(C38="Colorífico",'Regras e Listas'!$D$5,IF(C38="Farinha para o Flotamil",'Regras e Listas'!$D$6,0)))</x:f>
        <x:v>0</x:v>
      </x:c>
      <x:c r="N38" s="53" t="n">
        <x:f>K38*M38</x:f>
        <x:v>0</x:v>
      </x:c>
      <x:c r="O38" s="53" t="n">
        <x:f>L38*M38</x:f>
        <x:v>0</x:v>
      </x:c>
      <x:c r="P38" t="str">
        <x:f>IF(OR(B38="CONSUMO",B38="SAÍDA"),IF(ISNUMBER(SEARCH("não seguiu FIFO",I38)),"NÃO CONFORME",IF(ISNUMBER(SEARCH("FIFO automático",I38)),"CONFORME","VERIFICAR")),"")</x:f>
      </x:c>
    </x:row>
    <x:row r="39">
      <x:c r="A39" s="52"/>
      <x:c r="G39" s="53"/>
      <x:c r="K39" s="53" t="n">
        <x:f>IF(B39="ENTRADA",G39,0)</x:f>
        <x:v>0</x:v>
      </x:c>
      <x:c r="L39" s="53" t="n">
        <x:f>IF(OR(B39="CONSUMO",B39="SAÍDA"),G39,0)</x:f>
        <x:v>0</x:v>
      </x:c>
      <x:c r="M39" s="53" t="n">
        <x:f>IF(C39="Farinheira",'Regras e Listas'!$D$4,IF(C39="Colorífico",'Regras e Listas'!$D$5,IF(C39="Farinha para o Flotamil",'Regras e Listas'!$D$6,0)))</x:f>
        <x:v>0</x:v>
      </x:c>
      <x:c r="N39" s="53" t="n">
        <x:f>K39*M39</x:f>
        <x:v>0</x:v>
      </x:c>
      <x:c r="O39" s="53" t="n">
        <x:f>L39*M39</x:f>
        <x:v>0</x:v>
      </x:c>
      <x:c r="P39" t="str">
        <x:f>IF(OR(B39="CONSUMO",B39="SAÍDA"),IF(ISNUMBER(SEARCH("não seguiu FIFO",I39)),"NÃO CONFORME",IF(ISNUMBER(SEARCH("FIFO automático",I39)),"CONFORME","VERIFICAR")),"")</x:f>
      </x:c>
    </x:row>
    <x:row r="40">
      <x:c r="A40" s="52"/>
      <x:c r="G40" s="53"/>
      <x:c r="K40" s="53" t="n">
        <x:f>IF(B40="ENTRADA",G40,0)</x:f>
        <x:v>0</x:v>
      </x:c>
      <x:c r="L40" s="53" t="n">
        <x:f>IF(OR(B40="CONSUMO",B40="SAÍDA"),G40,0)</x:f>
        <x:v>0</x:v>
      </x:c>
      <x:c r="M40" s="53" t="n">
        <x:f>IF(C40="Farinheira",'Regras e Listas'!$D$4,IF(C40="Colorífico",'Regras e Listas'!$D$5,IF(C40="Farinha para o Flotamil",'Regras e Listas'!$D$6,0)))</x:f>
        <x:v>0</x:v>
      </x:c>
      <x:c r="N40" s="53" t="n">
        <x:f>K40*M40</x:f>
        <x:v>0</x:v>
      </x:c>
      <x:c r="O40" s="53" t="n">
        <x:f>L40*M40</x:f>
        <x:v>0</x:v>
      </x:c>
      <x:c r="P40" t="str">
        <x:f>IF(OR(B40="CONSUMO",B40="SAÍDA"),IF(ISNUMBER(SEARCH("não seguiu FIFO",I40)),"NÃO CONFORME",IF(ISNUMBER(SEARCH("FIFO automático",I40)),"CONFORME","VERIFICAR")),"")</x:f>
      </x:c>
    </x:row>
    <x:row r="41">
      <x:c r="A41" s="52"/>
      <x:c r="G41" s="53"/>
      <x:c r="K41" s="53" t="n">
        <x:f>IF(B41="ENTRADA",G41,0)</x:f>
        <x:v>0</x:v>
      </x:c>
      <x:c r="L41" s="53" t="n">
        <x:f>IF(OR(B41="CONSUMO",B41="SAÍDA"),G41,0)</x:f>
        <x:v>0</x:v>
      </x:c>
      <x:c r="M41" s="53" t="n">
        <x:f>IF(C41="Farinheira",'Regras e Listas'!$D$4,IF(C41="Colorífico",'Regras e Listas'!$D$5,IF(C41="Farinha para o Flotamil",'Regras e Listas'!$D$6,0)))</x:f>
        <x:v>0</x:v>
      </x:c>
      <x:c r="N41" s="53" t="n">
        <x:f>K41*M41</x:f>
        <x:v>0</x:v>
      </x:c>
      <x:c r="O41" s="53" t="n">
        <x:f>L41*M41</x:f>
        <x:v>0</x:v>
      </x:c>
      <x:c r="P41" t="str">
        <x:f>IF(OR(B41="CONSUMO",B41="SAÍDA"),IF(ISNUMBER(SEARCH("não seguiu FIFO",I41)),"NÃO CONFORME",IF(ISNUMBER(SEARCH("FIFO automático",I41)),"CONFORME","VERIFICAR")),"")</x:f>
      </x:c>
    </x:row>
    <x:row r="42">
      <x:c r="A42" s="52"/>
      <x:c r="G42" s="53"/>
      <x:c r="K42" s="53" t="n">
        <x:f>IF(B42="ENTRADA",G42,0)</x:f>
        <x:v>0</x:v>
      </x:c>
      <x:c r="L42" s="53" t="n">
        <x:f>IF(OR(B42="CONSUMO",B42="SAÍDA"),G42,0)</x:f>
        <x:v>0</x:v>
      </x:c>
      <x:c r="M42" s="53" t="n">
        <x:f>IF(C42="Farinheira",'Regras e Listas'!$D$4,IF(C42="Colorífico",'Regras e Listas'!$D$5,IF(C42="Farinha para o Flotamil",'Regras e Listas'!$D$6,0)))</x:f>
        <x:v>0</x:v>
      </x:c>
      <x:c r="N42" s="53" t="n">
        <x:f>K42*M42</x:f>
        <x:v>0</x:v>
      </x:c>
      <x:c r="O42" s="53" t="n">
        <x:f>L42*M42</x:f>
        <x:v>0</x:v>
      </x:c>
      <x:c r="P42" t="str">
        <x:f>IF(OR(B42="CONSUMO",B42="SAÍDA"),IF(ISNUMBER(SEARCH("não seguiu FIFO",I42)),"NÃO CONFORME",IF(ISNUMBER(SEARCH("FIFO automático",I42)),"CONFORME","VERIFICAR")),"")</x:f>
      </x:c>
    </x:row>
    <x:row r="43">
      <x:c r="A43" s="52"/>
      <x:c r="G43" s="53"/>
      <x:c r="K43" s="53" t="n">
        <x:f>IF(B43="ENTRADA",G43,0)</x:f>
        <x:v>0</x:v>
      </x:c>
      <x:c r="L43" s="53" t="n">
        <x:f>IF(OR(B43="CONSUMO",B43="SAÍDA"),G43,0)</x:f>
        <x:v>0</x:v>
      </x:c>
      <x:c r="M43" s="53" t="n">
        <x:f>IF(C43="Farinheira",'Regras e Listas'!$D$4,IF(C43="Colorífico",'Regras e Listas'!$D$5,IF(C43="Farinha para o Flotamil",'Regras e Listas'!$D$6,0)))</x:f>
        <x:v>0</x:v>
      </x:c>
      <x:c r="N43" s="53" t="n">
        <x:f>K43*M43</x:f>
        <x:v>0</x:v>
      </x:c>
      <x:c r="O43" s="53" t="n">
        <x:f>L43*M43</x:f>
        <x:v>0</x:v>
      </x:c>
      <x:c r="P43" t="str">
        <x:f>IF(OR(B43="CONSUMO",B43="SAÍDA"),IF(ISNUMBER(SEARCH("não seguiu FIFO",I43)),"NÃO CONFORME",IF(ISNUMBER(SEARCH("FIFO automático",I43)),"CONFORME","VERIFICAR")),"")</x:f>
      </x:c>
    </x:row>
    <x:row r="44">
      <x:c r="A44" s="52"/>
      <x:c r="G44" s="53"/>
      <x:c r="K44" s="53" t="n">
        <x:f>IF(B44="ENTRADA",G44,0)</x:f>
        <x:v>0</x:v>
      </x:c>
      <x:c r="L44" s="53" t="n">
        <x:f>IF(OR(B44="CONSUMO",B44="SAÍDA"),G44,0)</x:f>
        <x:v>0</x:v>
      </x:c>
      <x:c r="M44" s="53" t="n">
        <x:f>IF(C44="Farinheira",'Regras e Listas'!$D$4,IF(C44="Colorífico",'Regras e Listas'!$D$5,IF(C44="Farinha para o Flotamil",'Regras e Listas'!$D$6,0)))</x:f>
        <x:v>0</x:v>
      </x:c>
      <x:c r="N44" s="53" t="n">
        <x:f>K44*M44</x:f>
        <x:v>0</x:v>
      </x:c>
      <x:c r="O44" s="53" t="n">
        <x:f>L44*M44</x:f>
        <x:v>0</x:v>
      </x:c>
      <x:c r="P44" t="str">
        <x:f>IF(OR(B44="CONSUMO",B44="SAÍDA"),IF(ISNUMBER(SEARCH("não seguiu FIFO",I44)),"NÃO CONFORME",IF(ISNUMBER(SEARCH("FIFO automático",I44)),"CONFORME","VERIFICAR")),"")</x:f>
      </x:c>
    </x:row>
    <x:row r="45">
      <x:c r="A45" s="52"/>
      <x:c r="G45" s="53"/>
      <x:c r="K45" s="53" t="n">
        <x:f>IF(B45="ENTRADA",G45,0)</x:f>
        <x:v>0</x:v>
      </x:c>
      <x:c r="L45" s="53" t="n">
        <x:f>IF(OR(B45="CONSUMO",B45="SAÍDA"),G45,0)</x:f>
        <x:v>0</x:v>
      </x:c>
      <x:c r="M45" s="53" t="n">
        <x:f>IF(C45="Farinheira",'Regras e Listas'!$D$4,IF(C45="Colorífico",'Regras e Listas'!$D$5,IF(C45="Farinha para o Flotamil",'Regras e Listas'!$D$6,0)))</x:f>
        <x:v>0</x:v>
      </x:c>
      <x:c r="N45" s="53" t="n">
        <x:f>K45*M45</x:f>
        <x:v>0</x:v>
      </x:c>
      <x:c r="O45" s="53" t="n">
        <x:f>L45*M45</x:f>
        <x:v>0</x:v>
      </x:c>
      <x:c r="P45" t="str">
        <x:f>IF(OR(B45="CONSUMO",B45="SAÍDA"),IF(ISNUMBER(SEARCH("não seguiu FIFO",I45)),"NÃO CONFORME",IF(ISNUMBER(SEARCH("FIFO automático",I45)),"CONFORME","VERIFICAR")),"")</x:f>
      </x:c>
    </x:row>
    <x:row r="46">
      <x:c r="A46" s="52"/>
      <x:c r="G46" s="53"/>
      <x:c r="K46" s="53" t="n">
        <x:f>IF(B46="ENTRADA",G46,0)</x:f>
        <x:v>0</x:v>
      </x:c>
      <x:c r="L46" s="53" t="n">
        <x:f>IF(OR(B46="CONSUMO",B46="SAÍDA"),G46,0)</x:f>
        <x:v>0</x:v>
      </x:c>
      <x:c r="M46" s="53" t="n">
        <x:f>IF(C46="Farinheira",'Regras e Listas'!$D$4,IF(C46="Colorífico",'Regras e Listas'!$D$5,IF(C46="Farinha para o Flotamil",'Regras e Listas'!$D$6,0)))</x:f>
        <x:v>0</x:v>
      </x:c>
      <x:c r="N46" s="53" t="n">
        <x:f>K46*M46</x:f>
        <x:v>0</x:v>
      </x:c>
      <x:c r="O46" s="53" t="n">
        <x:f>L46*M46</x:f>
        <x:v>0</x:v>
      </x:c>
      <x:c r="P46" t="str">
        <x:f>IF(OR(B46="CONSUMO",B46="SAÍDA"),IF(ISNUMBER(SEARCH("não seguiu FIFO",I46)),"NÃO CONFORME",IF(ISNUMBER(SEARCH("FIFO automático",I46)),"CONFORME","VERIFICAR")),"")</x:f>
      </x:c>
    </x:row>
    <x:row r="47">
      <x:c r="A47" s="52"/>
      <x:c r="G47" s="53"/>
      <x:c r="K47" s="53" t="n">
        <x:f>IF(B47="ENTRADA",G47,0)</x:f>
        <x:v>0</x:v>
      </x:c>
      <x:c r="L47" s="53" t="n">
        <x:f>IF(OR(B47="CONSUMO",B47="SAÍDA"),G47,0)</x:f>
        <x:v>0</x:v>
      </x:c>
      <x:c r="M47" s="53" t="n">
        <x:f>IF(C47="Farinheira",'Regras e Listas'!$D$4,IF(C47="Colorífico",'Regras e Listas'!$D$5,IF(C47="Farinha para o Flotamil",'Regras e Listas'!$D$6,0)))</x:f>
        <x:v>0</x:v>
      </x:c>
      <x:c r="N47" s="53" t="n">
        <x:f>K47*M47</x:f>
        <x:v>0</x:v>
      </x:c>
      <x:c r="O47" s="53" t="n">
        <x:f>L47*M47</x:f>
        <x:v>0</x:v>
      </x:c>
      <x:c r="P47" t="str">
        <x:f>IF(OR(B47="CONSUMO",B47="SAÍDA"),IF(ISNUMBER(SEARCH("não seguiu FIFO",I47)),"NÃO CONFORME",IF(ISNUMBER(SEARCH("FIFO automático",I47)),"CONFORME","VERIFICAR")),"")</x:f>
      </x:c>
    </x:row>
    <x:row r="48">
      <x:c r="A48" s="52"/>
      <x:c r="G48" s="53"/>
      <x:c r="K48" s="53" t="n">
        <x:f>IF(B48="ENTRADA",G48,0)</x:f>
        <x:v>0</x:v>
      </x:c>
      <x:c r="L48" s="53" t="n">
        <x:f>IF(OR(B48="CONSUMO",B48="SAÍDA"),G48,0)</x:f>
        <x:v>0</x:v>
      </x:c>
      <x:c r="M48" s="53" t="n">
        <x:f>IF(C48="Farinheira",'Regras e Listas'!$D$4,IF(C48="Colorífico",'Regras e Listas'!$D$5,IF(C48="Farinha para o Flotamil",'Regras e Listas'!$D$6,0)))</x:f>
        <x:v>0</x:v>
      </x:c>
      <x:c r="N48" s="53" t="n">
        <x:f>K48*M48</x:f>
        <x:v>0</x:v>
      </x:c>
      <x:c r="O48" s="53" t="n">
        <x:f>L48*M48</x:f>
        <x:v>0</x:v>
      </x:c>
      <x:c r="P48" t="str">
        <x:f>IF(OR(B48="CONSUMO",B48="SAÍDA"),IF(ISNUMBER(SEARCH("não seguiu FIFO",I48)),"NÃO CONFORME",IF(ISNUMBER(SEARCH("FIFO automático",I48)),"CONFORME","VERIFICAR")),"")</x:f>
      </x:c>
    </x:row>
    <x:row r="49">
      <x:c r="A49" s="52"/>
      <x:c r="G49" s="53"/>
      <x:c r="K49" s="53" t="n">
        <x:f>IF(B49="ENTRADA",G49,0)</x:f>
        <x:v>0</x:v>
      </x:c>
      <x:c r="L49" s="53" t="n">
        <x:f>IF(OR(B49="CONSUMO",B49="SAÍDA"),G49,0)</x:f>
        <x:v>0</x:v>
      </x:c>
      <x:c r="M49" s="53" t="n">
        <x:f>IF(C49="Farinheira",'Regras e Listas'!$D$4,IF(C49="Colorífico",'Regras e Listas'!$D$5,IF(C49="Farinha para o Flotamil",'Regras e Listas'!$D$6,0)))</x:f>
        <x:v>0</x:v>
      </x:c>
      <x:c r="N49" s="53" t="n">
        <x:f>K49*M49</x:f>
        <x:v>0</x:v>
      </x:c>
      <x:c r="O49" s="53" t="n">
        <x:f>L49*M49</x:f>
        <x:v>0</x:v>
      </x:c>
      <x:c r="P49" t="str">
        <x:f>IF(OR(B49="CONSUMO",B49="SAÍDA"),IF(ISNUMBER(SEARCH("não seguiu FIFO",I49)),"NÃO CONFORME",IF(ISNUMBER(SEARCH("FIFO automático",I49)),"CONFORME","VERIFICAR")),"")</x:f>
      </x:c>
    </x:row>
    <x:row r="50">
      <x:c r="A50" s="52"/>
      <x:c r="G50" s="53"/>
      <x:c r="K50" s="53" t="n">
        <x:f>IF(B50="ENTRADA",G50,0)</x:f>
        <x:v>0</x:v>
      </x:c>
      <x:c r="L50" s="53" t="n">
        <x:f>IF(OR(B50="CONSUMO",B50="SAÍDA"),G50,0)</x:f>
        <x:v>0</x:v>
      </x:c>
      <x:c r="M50" s="53" t="n">
        <x:f>IF(C50="Farinheira",'Regras e Listas'!$D$4,IF(C50="Colorífico",'Regras e Listas'!$D$5,IF(C50="Farinha para o Flotamil",'Regras e Listas'!$D$6,0)))</x:f>
        <x:v>0</x:v>
      </x:c>
      <x:c r="N50" s="53" t="n">
        <x:f>K50*M50</x:f>
        <x:v>0</x:v>
      </x:c>
      <x:c r="O50" s="53" t="n">
        <x:f>L50*M50</x:f>
        <x:v>0</x:v>
      </x:c>
      <x:c r="P50" t="str">
        <x:f>IF(OR(B50="CONSUMO",B50="SAÍDA"),IF(ISNUMBER(SEARCH("não seguiu FIFO",I50)),"NÃO CONFORME",IF(ISNUMBER(SEARCH("FIFO automático",I50)),"CONFORME","VERIFICAR")),"")</x:f>
      </x:c>
    </x:row>
    <x:row r="51">
      <x:c r="A51" s="52"/>
      <x:c r="G51" s="53"/>
      <x:c r="K51" s="53" t="n">
        <x:f>IF(B51="ENTRADA",G51,0)</x:f>
        <x:v>0</x:v>
      </x:c>
      <x:c r="L51" s="53" t="n">
        <x:f>IF(OR(B51="CONSUMO",B51="SAÍDA"),G51,0)</x:f>
        <x:v>0</x:v>
      </x:c>
      <x:c r="M51" s="53" t="n">
        <x:f>IF(C51="Farinheira",'Regras e Listas'!$D$4,IF(C51="Colorífico",'Regras e Listas'!$D$5,IF(C51="Farinha para o Flotamil",'Regras e Listas'!$D$6,0)))</x:f>
        <x:v>0</x:v>
      </x:c>
      <x:c r="N51" s="53" t="n">
        <x:f>K51*M51</x:f>
        <x:v>0</x:v>
      </x:c>
      <x:c r="O51" s="53" t="n">
        <x:f>L51*M51</x:f>
        <x:v>0</x:v>
      </x:c>
      <x:c r="P51" t="str">
        <x:f>IF(OR(B51="CONSUMO",B51="SAÍDA"),IF(ISNUMBER(SEARCH("não seguiu FIFO",I51)),"NÃO CONFORME",IF(ISNUMBER(SEARCH("FIFO automático",I51)),"CONFORME","VERIFICAR")),"")</x:f>
      </x:c>
    </x:row>
    <x:row r="52">
      <x:c r="A52" s="52"/>
      <x:c r="G52" s="53"/>
      <x:c r="K52" s="53" t="n">
        <x:f>IF(B52="ENTRADA",G52,0)</x:f>
        <x:v>0</x:v>
      </x:c>
      <x:c r="L52" s="53" t="n">
        <x:f>IF(OR(B52="CONSUMO",B52="SAÍDA"),G52,0)</x:f>
        <x:v>0</x:v>
      </x:c>
      <x:c r="M52" s="53" t="n">
        <x:f>IF(C52="Farinheira",'Regras e Listas'!$D$4,IF(C52="Colorífico",'Regras e Listas'!$D$5,IF(C52="Farinha para o Flotamil",'Regras e Listas'!$D$6,0)))</x:f>
        <x:v>0</x:v>
      </x:c>
      <x:c r="N52" s="53" t="n">
        <x:f>K52*M52</x:f>
        <x:v>0</x:v>
      </x:c>
      <x:c r="O52" s="53" t="n">
        <x:f>L52*M52</x:f>
        <x:v>0</x:v>
      </x:c>
      <x:c r="P52" t="str">
        <x:f>IF(OR(B52="CONSUMO",B52="SAÍDA"),IF(ISNUMBER(SEARCH("não seguiu FIFO",I52)),"NÃO CONFORME",IF(ISNUMBER(SEARCH("FIFO automático",I52)),"CONFORME","VERIFICAR")),"")</x:f>
      </x:c>
    </x:row>
    <x:row r="53">
      <x:c r="A53" s="52"/>
      <x:c r="G53" s="53"/>
      <x:c r="K53" s="53" t="n">
        <x:f>IF(B53="ENTRADA",G53,0)</x:f>
        <x:v>0</x:v>
      </x:c>
      <x:c r="L53" s="53" t="n">
        <x:f>IF(OR(B53="CONSUMO",B53="SAÍDA"),G53,0)</x:f>
        <x:v>0</x:v>
      </x:c>
      <x:c r="M53" s="53" t="n">
        <x:f>IF(C53="Farinheira",'Regras e Listas'!$D$4,IF(C53="Colorífico",'Regras e Listas'!$D$5,IF(C53="Farinha para o Flotamil",'Regras e Listas'!$D$6,0)))</x:f>
        <x:v>0</x:v>
      </x:c>
      <x:c r="N53" s="53" t="n">
        <x:f>K53*M53</x:f>
        <x:v>0</x:v>
      </x:c>
      <x:c r="O53" s="53" t="n">
        <x:f>L53*M53</x:f>
        <x:v>0</x:v>
      </x:c>
      <x:c r="P53" t="str">
        <x:f>IF(OR(B53="CONSUMO",B53="SAÍDA"),IF(ISNUMBER(SEARCH("não seguiu FIFO",I53)),"NÃO CONFORME",IF(ISNUMBER(SEARCH("FIFO automático",I53)),"CONFORME","VERIFICAR")),"")</x:f>
      </x:c>
    </x:row>
    <x:row r="54">
      <x:c r="A54" s="52"/>
      <x:c r="G54" s="53"/>
      <x:c r="K54" s="53" t="n">
        <x:f>IF(B54="ENTRADA",G54,0)</x:f>
        <x:v>0</x:v>
      </x:c>
      <x:c r="L54" s="53" t="n">
        <x:f>IF(OR(B54="CONSUMO",B54="SAÍDA"),G54,0)</x:f>
        <x:v>0</x:v>
      </x:c>
      <x:c r="M54" s="53" t="n">
        <x:f>IF(C54="Farinheira",'Regras e Listas'!$D$4,IF(C54="Colorífico",'Regras e Listas'!$D$5,IF(C54="Farinha para o Flotamil",'Regras e Listas'!$D$6,0)))</x:f>
        <x:v>0</x:v>
      </x:c>
      <x:c r="N54" s="53" t="n">
        <x:f>K54*M54</x:f>
        <x:v>0</x:v>
      </x:c>
      <x:c r="O54" s="53" t="n">
        <x:f>L54*M54</x:f>
        <x:v>0</x:v>
      </x:c>
      <x:c r="P54" t="str">
        <x:f>IF(OR(B54="CONSUMO",B54="SAÍDA"),IF(ISNUMBER(SEARCH("não seguiu FIFO",I54)),"NÃO CONFORME",IF(ISNUMBER(SEARCH("FIFO automático",I54)),"CONFORME","VERIFICAR")),"")</x:f>
      </x:c>
    </x:row>
    <x:row r="55">
      <x:c r="A55" s="52"/>
      <x:c r="G55" s="53"/>
      <x:c r="K55" s="53" t="n">
        <x:f>IF(B55="ENTRADA",G55,0)</x:f>
        <x:v>0</x:v>
      </x:c>
      <x:c r="L55" s="53" t="n">
        <x:f>IF(OR(B55="CONSUMO",B55="SAÍDA"),G55,0)</x:f>
        <x:v>0</x:v>
      </x:c>
      <x:c r="M55" s="53" t="n">
        <x:f>IF(C55="Farinheira",'Regras e Listas'!$D$4,IF(C55="Colorífico",'Regras e Listas'!$D$5,IF(C55="Farinha para o Flotamil",'Regras e Listas'!$D$6,0)))</x:f>
        <x:v>0</x:v>
      </x:c>
      <x:c r="N55" s="53" t="n">
        <x:f>K55*M55</x:f>
        <x:v>0</x:v>
      </x:c>
      <x:c r="O55" s="53" t="n">
        <x:f>L55*M55</x:f>
        <x:v>0</x:v>
      </x:c>
      <x:c r="P55" t="str">
        <x:f>IF(OR(B55="CONSUMO",B55="SAÍDA"),IF(ISNUMBER(SEARCH("não seguiu FIFO",I55)),"NÃO CONFORME",IF(ISNUMBER(SEARCH("FIFO automático",I55)),"CONFORME","VERIFICAR")),"")</x:f>
      </x:c>
    </x:row>
    <x:row r="56">
      <x:c r="A56" s="52"/>
      <x:c r="G56" s="53"/>
      <x:c r="K56" s="53" t="n">
        <x:f>IF(B56="ENTRADA",G56,0)</x:f>
        <x:v>0</x:v>
      </x:c>
      <x:c r="L56" s="53" t="n">
        <x:f>IF(OR(B56="CONSUMO",B56="SAÍDA"),G56,0)</x:f>
        <x:v>0</x:v>
      </x:c>
      <x:c r="M56" s="53" t="n">
        <x:f>IF(C56="Farinheira",'Regras e Listas'!$D$4,IF(C56="Colorífico",'Regras e Listas'!$D$5,IF(C56="Farinha para o Flotamil",'Regras e Listas'!$D$6,0)))</x:f>
        <x:v>0</x:v>
      </x:c>
      <x:c r="N56" s="53" t="n">
        <x:f>K56*M56</x:f>
        <x:v>0</x:v>
      </x:c>
      <x:c r="O56" s="53" t="n">
        <x:f>L56*M56</x:f>
        <x:v>0</x:v>
      </x:c>
      <x:c r="P56" t="str">
        <x:f>IF(OR(B56="CONSUMO",B56="SAÍDA"),IF(ISNUMBER(SEARCH("não seguiu FIFO",I56)),"NÃO CONFORME",IF(ISNUMBER(SEARCH("FIFO automático",I56)),"CONFORME","VERIFICAR")),"")</x:f>
      </x:c>
    </x:row>
    <x:row r="57">
      <x:c r="A57" s="52"/>
      <x:c r="G57" s="53"/>
      <x:c r="K57" s="53" t="n">
        <x:f>IF(B57="ENTRADA",G57,0)</x:f>
        <x:v>0</x:v>
      </x:c>
      <x:c r="L57" s="53" t="n">
        <x:f>IF(OR(B57="CONSUMO",B57="SAÍDA"),G57,0)</x:f>
        <x:v>0</x:v>
      </x:c>
      <x:c r="M57" s="53" t="n">
        <x:f>IF(C57="Farinheira",'Regras e Listas'!$D$4,IF(C57="Colorífico",'Regras e Listas'!$D$5,IF(C57="Farinha para o Flotamil",'Regras e Listas'!$D$6,0)))</x:f>
        <x:v>0</x:v>
      </x:c>
      <x:c r="N57" s="53" t="n">
        <x:f>K57*M57</x:f>
        <x:v>0</x:v>
      </x:c>
      <x:c r="O57" s="53" t="n">
        <x:f>L57*M57</x:f>
        <x:v>0</x:v>
      </x:c>
      <x:c r="P57" t="str">
        <x:f>IF(OR(B57="CONSUMO",B57="SAÍDA"),IF(ISNUMBER(SEARCH("não seguiu FIFO",I57)),"NÃO CONFORME",IF(ISNUMBER(SEARCH("FIFO automático",I57)),"CONFORME","VERIFICAR")),"")</x:f>
      </x:c>
    </x:row>
    <x:row r="58">
      <x:c r="A58" s="52"/>
      <x:c r="G58" s="53"/>
      <x:c r="K58" s="53" t="n">
        <x:f>IF(B58="ENTRADA",G58,0)</x:f>
        <x:v>0</x:v>
      </x:c>
      <x:c r="L58" s="53" t="n">
        <x:f>IF(OR(B58="CONSUMO",B58="SAÍDA"),G58,0)</x:f>
        <x:v>0</x:v>
      </x:c>
      <x:c r="M58" s="53" t="n">
        <x:f>IF(C58="Farinheira",'Regras e Listas'!$D$4,IF(C58="Colorífico",'Regras e Listas'!$D$5,IF(C58="Farinha para o Flotamil",'Regras e Listas'!$D$6,0)))</x:f>
        <x:v>0</x:v>
      </x:c>
      <x:c r="N58" s="53" t="n">
        <x:f>K58*M58</x:f>
        <x:v>0</x:v>
      </x:c>
      <x:c r="O58" s="53" t="n">
        <x:f>L58*M58</x:f>
        <x:v>0</x:v>
      </x:c>
      <x:c r="P58" t="str">
        <x:f>IF(OR(B58="CONSUMO",B58="SAÍDA"),IF(ISNUMBER(SEARCH("não seguiu FIFO",I58)),"NÃO CONFORME",IF(ISNUMBER(SEARCH("FIFO automático",I58)),"CONFORME","VERIFICAR")),"")</x:f>
      </x:c>
    </x:row>
    <x:row r="59">
      <x:c r="A59" s="52"/>
      <x:c r="G59" s="53"/>
      <x:c r="K59" s="53" t="n">
        <x:f>IF(B59="ENTRADA",G59,0)</x:f>
        <x:v>0</x:v>
      </x:c>
      <x:c r="L59" s="53" t="n">
        <x:f>IF(OR(B59="CONSUMO",B59="SAÍDA"),G59,0)</x:f>
        <x:v>0</x:v>
      </x:c>
      <x:c r="M59" s="53" t="n">
        <x:f>IF(C59="Farinheira",'Regras e Listas'!$D$4,IF(C59="Colorífico",'Regras e Listas'!$D$5,IF(C59="Farinha para o Flotamil",'Regras e Listas'!$D$6,0)))</x:f>
        <x:v>0</x:v>
      </x:c>
      <x:c r="N59" s="53" t="n">
        <x:f>K59*M59</x:f>
        <x:v>0</x:v>
      </x:c>
      <x:c r="O59" s="53" t="n">
        <x:f>L59*M59</x:f>
        <x:v>0</x:v>
      </x:c>
      <x:c r="P59" t="str">
        <x:f>IF(OR(B59="CONSUMO",B59="SAÍDA"),IF(ISNUMBER(SEARCH("não seguiu FIFO",I59)),"NÃO CONFORME",IF(ISNUMBER(SEARCH("FIFO automático",I59)),"CONFORME","VERIFICAR")),"")</x:f>
      </x:c>
    </x:row>
    <x:row r="60">
      <x:c r="A60" s="52"/>
      <x:c r="G60" s="53"/>
      <x:c r="K60" s="53" t="n">
        <x:f>IF(B60="ENTRADA",G60,0)</x:f>
        <x:v>0</x:v>
      </x:c>
      <x:c r="L60" s="53" t="n">
        <x:f>IF(OR(B60="CONSUMO",B60="SAÍDA"),G60,0)</x:f>
        <x:v>0</x:v>
      </x:c>
      <x:c r="M60" s="53" t="n">
        <x:f>IF(C60="Farinheira",'Regras e Listas'!$D$4,IF(C60="Colorífico",'Regras e Listas'!$D$5,IF(C60="Farinha para o Flotamil",'Regras e Listas'!$D$6,0)))</x:f>
        <x:v>0</x:v>
      </x:c>
      <x:c r="N60" s="53" t="n">
        <x:f>K60*M60</x:f>
        <x:v>0</x:v>
      </x:c>
      <x:c r="O60" s="53" t="n">
        <x:f>L60*M60</x:f>
        <x:v>0</x:v>
      </x:c>
      <x:c r="P60" t="str">
        <x:f>IF(OR(B60="CONSUMO",B60="SAÍDA"),IF(ISNUMBER(SEARCH("não seguiu FIFO",I60)),"NÃO CONFORME",IF(ISNUMBER(SEARCH("FIFO automático",I60)),"CONFORME","VERIFICAR")),"")</x:f>
      </x:c>
    </x:row>
    <x:row r="61">
      <x:c r="A61" s="52"/>
      <x:c r="G61" s="53"/>
      <x:c r="K61" s="53" t="n">
        <x:f>IF(B61="ENTRADA",G61,0)</x:f>
        <x:v>0</x:v>
      </x:c>
      <x:c r="L61" s="53" t="n">
        <x:f>IF(OR(B61="CONSUMO",B61="SAÍDA"),G61,0)</x:f>
        <x:v>0</x:v>
      </x:c>
      <x:c r="M61" s="53" t="n">
        <x:f>IF(C61="Farinheira",'Regras e Listas'!$D$4,IF(C61="Colorífico",'Regras e Listas'!$D$5,IF(C61="Farinha para o Flotamil",'Regras e Listas'!$D$6,0)))</x:f>
        <x:v>0</x:v>
      </x:c>
      <x:c r="N61" s="53" t="n">
        <x:f>K61*M61</x:f>
        <x:v>0</x:v>
      </x:c>
      <x:c r="O61" s="53" t="n">
        <x:f>L61*M61</x:f>
        <x:v>0</x:v>
      </x:c>
      <x:c r="P61" t="str">
        <x:f>IF(OR(B61="CONSUMO",B61="SAÍDA"),IF(ISNUMBER(SEARCH("não seguiu FIFO",I61)),"NÃO CONFORME",IF(ISNUMBER(SEARCH("FIFO automático",I61)),"CONFORME","VERIFICAR")),"")</x:f>
      </x:c>
    </x:row>
    <x:row r="62">
      <x:c r="A62" s="52"/>
      <x:c r="G62" s="53"/>
      <x:c r="K62" s="53" t="n">
        <x:f>IF(B62="ENTRADA",G62,0)</x:f>
        <x:v>0</x:v>
      </x:c>
      <x:c r="L62" s="53" t="n">
        <x:f>IF(OR(B62="CONSUMO",B62="SAÍDA"),G62,0)</x:f>
        <x:v>0</x:v>
      </x:c>
      <x:c r="M62" s="53" t="n">
        <x:f>IF(C62="Farinheira",'Regras e Listas'!$D$4,IF(C62="Colorífico",'Regras e Listas'!$D$5,IF(C62="Farinha para o Flotamil",'Regras e Listas'!$D$6,0)))</x:f>
        <x:v>0</x:v>
      </x:c>
      <x:c r="N62" s="53" t="n">
        <x:f>K62*M62</x:f>
        <x:v>0</x:v>
      </x:c>
      <x:c r="O62" s="53" t="n">
        <x:f>L62*M62</x:f>
        <x:v>0</x:v>
      </x:c>
      <x:c r="P62" t="str">
        <x:f>IF(OR(B62="CONSUMO",B62="SAÍDA"),IF(ISNUMBER(SEARCH("não seguiu FIFO",I62)),"NÃO CONFORME",IF(ISNUMBER(SEARCH("FIFO automático",I62)),"CONFORME","VERIFICAR")),"")</x:f>
      </x:c>
    </x:row>
    <x:row r="63">
      <x:c r="A63" s="52"/>
      <x:c r="G63" s="53"/>
      <x:c r="K63" s="53" t="n">
        <x:f>IF(B63="ENTRADA",G63,0)</x:f>
        <x:v>0</x:v>
      </x:c>
      <x:c r="L63" s="53" t="n">
        <x:f>IF(OR(B63="CONSUMO",B63="SAÍDA"),G63,0)</x:f>
        <x:v>0</x:v>
      </x:c>
      <x:c r="M63" s="53" t="n">
        <x:f>IF(C63="Farinheira",'Regras e Listas'!$D$4,IF(C63="Colorífico",'Regras e Listas'!$D$5,IF(C63="Farinha para o Flotamil",'Regras e Listas'!$D$6,0)))</x:f>
        <x:v>0</x:v>
      </x:c>
      <x:c r="N63" s="53" t="n">
        <x:f>K63*M63</x:f>
        <x:v>0</x:v>
      </x:c>
      <x:c r="O63" s="53" t="n">
        <x:f>L63*M63</x:f>
        <x:v>0</x:v>
      </x:c>
      <x:c r="P63" t="str">
        <x:f>IF(OR(B63="CONSUMO",B63="SAÍDA"),IF(ISNUMBER(SEARCH("não seguiu FIFO",I63)),"NÃO CONFORME",IF(ISNUMBER(SEARCH("FIFO automático",I63)),"CONFORME","VERIFICAR")),"")</x:f>
      </x:c>
    </x:row>
    <x:row r="64">
      <x:c r="A64" s="52"/>
      <x:c r="G64" s="53"/>
      <x:c r="K64" s="53" t="n">
        <x:f>IF(B64="ENTRADA",G64,0)</x:f>
        <x:v>0</x:v>
      </x:c>
      <x:c r="L64" s="53" t="n">
        <x:f>IF(OR(B64="CONSUMO",B64="SAÍDA"),G64,0)</x:f>
        <x:v>0</x:v>
      </x:c>
      <x:c r="M64" s="53" t="n">
        <x:f>IF(C64="Farinheira",'Regras e Listas'!$D$4,IF(C64="Colorífico",'Regras e Listas'!$D$5,IF(C64="Farinha para o Flotamil",'Regras e Listas'!$D$6,0)))</x:f>
        <x:v>0</x:v>
      </x:c>
      <x:c r="N64" s="53" t="n">
        <x:f>K64*M64</x:f>
        <x:v>0</x:v>
      </x:c>
      <x:c r="O64" s="53" t="n">
        <x:f>L64*M64</x:f>
        <x:v>0</x:v>
      </x:c>
      <x:c r="P64" t="str">
        <x:f>IF(OR(B64="CONSUMO",B64="SAÍDA"),IF(ISNUMBER(SEARCH("não seguiu FIFO",I64)),"NÃO CONFORME",IF(ISNUMBER(SEARCH("FIFO automático",I64)),"CONFORME","VERIFICAR")),"")</x:f>
      </x:c>
    </x:row>
    <x:row r="65">
      <x:c r="A65" s="52"/>
      <x:c r="G65" s="53"/>
      <x:c r="K65" s="53" t="n">
        <x:f>IF(B65="ENTRADA",G65,0)</x:f>
        <x:v>0</x:v>
      </x:c>
      <x:c r="L65" s="53" t="n">
        <x:f>IF(OR(B65="CONSUMO",B65="SAÍDA"),G65,0)</x:f>
        <x:v>0</x:v>
      </x:c>
      <x:c r="M65" s="53" t="n">
        <x:f>IF(C65="Farinheira",'Regras e Listas'!$D$4,IF(C65="Colorífico",'Regras e Listas'!$D$5,IF(C65="Farinha para o Flotamil",'Regras e Listas'!$D$6,0)))</x:f>
        <x:v>0</x:v>
      </x:c>
      <x:c r="N65" s="53" t="n">
        <x:f>K65*M65</x:f>
        <x:v>0</x:v>
      </x:c>
      <x:c r="O65" s="53" t="n">
        <x:f>L65*M65</x:f>
        <x:v>0</x:v>
      </x:c>
      <x:c r="P65" t="str">
        <x:f>IF(OR(B65="CONSUMO",B65="SAÍDA"),IF(ISNUMBER(SEARCH("não seguiu FIFO",I65)),"NÃO CONFORME",IF(ISNUMBER(SEARCH("FIFO automático",I65)),"CONFORME","VERIFICAR")),"")</x:f>
      </x:c>
    </x:row>
    <x:row r="66">
      <x:c r="A66" s="52"/>
      <x:c r="G66" s="53"/>
      <x:c r="K66" s="53" t="n">
        <x:f>IF(B66="ENTRADA",G66,0)</x:f>
        <x:v>0</x:v>
      </x:c>
      <x:c r="L66" s="53" t="n">
        <x:f>IF(OR(B66="CONSUMO",B66="SAÍDA"),G66,0)</x:f>
        <x:v>0</x:v>
      </x:c>
      <x:c r="M66" s="53" t="n">
        <x:f>IF(C66="Farinheira",'Regras e Listas'!$D$4,IF(C66="Colorífico",'Regras e Listas'!$D$5,IF(C66="Farinha para o Flotamil",'Regras e Listas'!$D$6,0)))</x:f>
        <x:v>0</x:v>
      </x:c>
      <x:c r="N66" s="53" t="n">
        <x:f>K66*M66</x:f>
        <x:v>0</x:v>
      </x:c>
      <x:c r="O66" s="53" t="n">
        <x:f>L66*M66</x:f>
        <x:v>0</x:v>
      </x:c>
      <x:c r="P66" t="str">
        <x:f>IF(OR(B66="CONSUMO",B66="SAÍDA"),IF(ISNUMBER(SEARCH("não seguiu FIFO",I66)),"NÃO CONFORME",IF(ISNUMBER(SEARCH("FIFO automático",I66)),"CONFORME","VERIFICAR")),"")</x:f>
      </x:c>
    </x:row>
    <x:row r="67">
      <x:c r="A67" s="52"/>
      <x:c r="G67" s="53"/>
      <x:c r="K67" s="53" t="n">
        <x:f>IF(B67="ENTRADA",G67,0)</x:f>
        <x:v>0</x:v>
      </x:c>
      <x:c r="L67" s="53" t="n">
        <x:f>IF(OR(B67="CONSUMO",B67="SAÍDA"),G67,0)</x:f>
        <x:v>0</x:v>
      </x:c>
      <x:c r="M67" s="53" t="n">
        <x:f>IF(C67="Farinheira",'Regras e Listas'!$D$4,IF(C67="Colorífico",'Regras e Listas'!$D$5,IF(C67="Farinha para o Flotamil",'Regras e Listas'!$D$6,0)))</x:f>
        <x:v>0</x:v>
      </x:c>
      <x:c r="N67" s="53" t="n">
        <x:f>K67*M67</x:f>
        <x:v>0</x:v>
      </x:c>
      <x:c r="O67" s="53" t="n">
        <x:f>L67*M67</x:f>
        <x:v>0</x:v>
      </x:c>
      <x:c r="P67" t="str">
        <x:f>IF(OR(B67="CONSUMO",B67="SAÍDA"),IF(ISNUMBER(SEARCH("não seguiu FIFO",I67)),"NÃO CONFORME",IF(ISNUMBER(SEARCH("FIFO automático",I67)),"CONFORME","VERIFICAR")),"")</x:f>
      </x:c>
    </x:row>
    <x:row r="68">
      <x:c r="A68" s="52"/>
      <x:c r="G68" s="53"/>
      <x:c r="K68" s="53" t="n">
        <x:f>IF(B68="ENTRADA",G68,0)</x:f>
        <x:v>0</x:v>
      </x:c>
      <x:c r="L68" s="53" t="n">
        <x:f>IF(OR(B68="CONSUMO",B68="SAÍDA"),G68,0)</x:f>
        <x:v>0</x:v>
      </x:c>
      <x:c r="M68" s="53" t="n">
        <x:f>IF(C68="Farinheira",'Regras e Listas'!$D$4,IF(C68="Colorífico",'Regras e Listas'!$D$5,IF(C68="Farinha para o Flotamil",'Regras e Listas'!$D$6,0)))</x:f>
        <x:v>0</x:v>
      </x:c>
      <x:c r="N68" s="53" t="n">
        <x:f>K68*M68</x:f>
        <x:v>0</x:v>
      </x:c>
      <x:c r="O68" s="53" t="n">
        <x:f>L68*M68</x:f>
        <x:v>0</x:v>
      </x:c>
      <x:c r="P68" t="str">
        <x:f>IF(OR(B68="CONSUMO",B68="SAÍDA"),IF(ISNUMBER(SEARCH("não seguiu FIFO",I68)),"NÃO CONFORME",IF(ISNUMBER(SEARCH("FIFO automático",I68)),"CONFORME","VERIFICAR")),"")</x:f>
      </x:c>
    </x:row>
    <x:row r="69">
      <x:c r="A69" s="52"/>
      <x:c r="G69" s="53"/>
      <x:c r="K69" s="53" t="n">
        <x:f>IF(B69="ENTRADA",G69,0)</x:f>
        <x:v>0</x:v>
      </x:c>
      <x:c r="L69" s="53" t="n">
        <x:f>IF(OR(B69="CONSUMO",B69="SAÍDA"),G69,0)</x:f>
        <x:v>0</x:v>
      </x:c>
      <x:c r="M69" s="53" t="n">
        <x:f>IF(C69="Farinheira",'Regras e Listas'!$D$4,IF(C69="Colorífico",'Regras e Listas'!$D$5,IF(C69="Farinha para o Flotamil",'Regras e Listas'!$D$6,0)))</x:f>
        <x:v>0</x:v>
      </x:c>
      <x:c r="N69" s="53" t="n">
        <x:f>K69*M69</x:f>
        <x:v>0</x:v>
      </x:c>
      <x:c r="O69" s="53" t="n">
        <x:f>L69*M69</x:f>
        <x:v>0</x:v>
      </x:c>
      <x:c r="P69" t="str">
        <x:f>IF(OR(B69="CONSUMO",B69="SAÍDA"),IF(ISNUMBER(SEARCH("não seguiu FIFO",I69)),"NÃO CONFORME",IF(ISNUMBER(SEARCH("FIFO automático",I69)),"CONFORME","VERIFICAR")),"")</x:f>
      </x:c>
    </x:row>
    <x:row r="70">
      <x:c r="A70" s="52"/>
      <x:c r="G70" s="53"/>
      <x:c r="K70" s="53" t="n">
        <x:f>IF(B70="ENTRADA",G70,0)</x:f>
        <x:v>0</x:v>
      </x:c>
      <x:c r="L70" s="53" t="n">
        <x:f>IF(OR(B70="CONSUMO",B70="SAÍDA"),G70,0)</x:f>
        <x:v>0</x:v>
      </x:c>
      <x:c r="M70" s="53" t="n">
        <x:f>IF(C70="Farinheira",'Regras e Listas'!$D$4,IF(C70="Colorífico",'Regras e Listas'!$D$5,IF(C70="Farinha para o Flotamil",'Regras e Listas'!$D$6,0)))</x:f>
        <x:v>0</x:v>
      </x:c>
      <x:c r="N70" s="53" t="n">
        <x:f>K70*M70</x:f>
        <x:v>0</x:v>
      </x:c>
      <x:c r="O70" s="53" t="n">
        <x:f>L70*M70</x:f>
        <x:v>0</x:v>
      </x:c>
      <x:c r="P70" t="str">
        <x:f>IF(OR(B70="CONSUMO",B70="SAÍDA"),IF(ISNUMBER(SEARCH("não seguiu FIFO",I70)),"NÃO CONFORME",IF(ISNUMBER(SEARCH("FIFO automático",I70)),"CONFORME","VERIFICAR")),"")</x:f>
      </x:c>
    </x:row>
    <x:row r="71">
      <x:c r="A71" s="52"/>
      <x:c r="G71" s="53"/>
      <x:c r="K71" s="53" t="n">
        <x:f>IF(B71="ENTRADA",G71,0)</x:f>
        <x:v>0</x:v>
      </x:c>
      <x:c r="L71" s="53" t="n">
        <x:f>IF(OR(B71="CONSUMO",B71="SAÍDA"),G71,0)</x:f>
        <x:v>0</x:v>
      </x:c>
      <x:c r="M71" s="53" t="n">
        <x:f>IF(C71="Farinheira",'Regras e Listas'!$D$4,IF(C71="Colorífico",'Regras e Listas'!$D$5,IF(C71="Farinha para o Flotamil",'Regras e Listas'!$D$6,0)))</x:f>
        <x:v>0</x:v>
      </x:c>
      <x:c r="N71" s="53" t="n">
        <x:f>K71*M71</x:f>
        <x:v>0</x:v>
      </x:c>
      <x:c r="O71" s="53" t="n">
        <x:f>L71*M71</x:f>
        <x:v>0</x:v>
      </x:c>
      <x:c r="P71" t="str">
        <x:f>IF(OR(B71="CONSUMO",B71="SAÍDA"),IF(ISNUMBER(SEARCH("não seguiu FIFO",I71)),"NÃO CONFORME",IF(ISNUMBER(SEARCH("FIFO automático",I71)),"CONFORME","VERIFICAR")),"")</x:f>
      </x:c>
    </x:row>
    <x:row r="72">
      <x:c r="A72" s="52"/>
      <x:c r="G72" s="53"/>
      <x:c r="K72" s="53" t="n">
        <x:f>IF(B72="ENTRADA",G72,0)</x:f>
        <x:v>0</x:v>
      </x:c>
      <x:c r="L72" s="53" t="n">
        <x:f>IF(OR(B72="CONSUMO",B72="SAÍDA"),G72,0)</x:f>
        <x:v>0</x:v>
      </x:c>
      <x:c r="M72" s="53" t="n">
        <x:f>IF(C72="Farinheira",'Regras e Listas'!$D$4,IF(C72="Colorífico",'Regras e Listas'!$D$5,IF(C72="Farinha para o Flotamil",'Regras e Listas'!$D$6,0)))</x:f>
        <x:v>0</x:v>
      </x:c>
      <x:c r="N72" s="53" t="n">
        <x:f>K72*M72</x:f>
        <x:v>0</x:v>
      </x:c>
      <x:c r="O72" s="53" t="n">
        <x:f>L72*M72</x:f>
        <x:v>0</x:v>
      </x:c>
      <x:c r="P72" t="str">
        <x:f>IF(OR(B72="CONSUMO",B72="SAÍDA"),IF(ISNUMBER(SEARCH("não seguiu FIFO",I72)),"NÃO CONFORME",IF(ISNUMBER(SEARCH("FIFO automático",I72)),"CONFORME","VERIFICAR")),"")</x:f>
      </x:c>
    </x:row>
    <x:row r="73">
      <x:c r="A73" s="52"/>
      <x:c r="G73" s="53"/>
      <x:c r="K73" s="53" t="n">
        <x:f>IF(B73="ENTRADA",G73,0)</x:f>
        <x:v>0</x:v>
      </x:c>
      <x:c r="L73" s="53" t="n">
        <x:f>IF(OR(B73="CONSUMO",B73="SAÍDA"),G73,0)</x:f>
        <x:v>0</x:v>
      </x:c>
      <x:c r="M73" s="53" t="n">
        <x:f>IF(C73="Farinheira",'Regras e Listas'!$D$4,IF(C73="Colorífico",'Regras e Listas'!$D$5,IF(C73="Farinha para o Flotamil",'Regras e Listas'!$D$6,0)))</x:f>
        <x:v>0</x:v>
      </x:c>
      <x:c r="N73" s="53" t="n">
        <x:f>K73*M73</x:f>
        <x:v>0</x:v>
      </x:c>
      <x:c r="O73" s="53" t="n">
        <x:f>L73*M73</x:f>
        <x:v>0</x:v>
      </x:c>
      <x:c r="P73" t="str">
        <x:f>IF(OR(B73="CONSUMO",B73="SAÍDA"),IF(ISNUMBER(SEARCH("não seguiu FIFO",I73)),"NÃO CONFORME",IF(ISNUMBER(SEARCH("FIFO automático",I73)),"CONFORME","VERIFICAR")),"")</x:f>
      </x:c>
    </x:row>
    <x:row r="74">
      <x:c r="A74" s="52"/>
      <x:c r="G74" s="53"/>
      <x:c r="K74" s="53" t="n">
        <x:f>IF(B74="ENTRADA",G74,0)</x:f>
        <x:v>0</x:v>
      </x:c>
      <x:c r="L74" s="53" t="n">
        <x:f>IF(OR(B74="CONSUMO",B74="SAÍDA"),G74,0)</x:f>
        <x:v>0</x:v>
      </x:c>
      <x:c r="M74" s="53" t="n">
        <x:f>IF(C74="Farinheira",'Regras e Listas'!$D$4,IF(C74="Colorífico",'Regras e Listas'!$D$5,IF(C74="Farinha para o Flotamil",'Regras e Listas'!$D$6,0)))</x:f>
        <x:v>0</x:v>
      </x:c>
      <x:c r="N74" s="53" t="n">
        <x:f>K74*M74</x:f>
        <x:v>0</x:v>
      </x:c>
      <x:c r="O74" s="53" t="n">
        <x:f>L74*M74</x:f>
        <x:v>0</x:v>
      </x:c>
      <x:c r="P74" t="str">
        <x:f>IF(OR(B74="CONSUMO",B74="SAÍDA"),IF(ISNUMBER(SEARCH("não seguiu FIFO",I74)),"NÃO CONFORME",IF(ISNUMBER(SEARCH("FIFO automático",I74)),"CONFORME","VERIFICAR")),"")</x:f>
      </x:c>
    </x:row>
    <x:row r="75">
      <x:c r="A75" s="52"/>
      <x:c r="G75" s="53"/>
      <x:c r="K75" s="53" t="n">
        <x:f>IF(B75="ENTRADA",G75,0)</x:f>
        <x:v>0</x:v>
      </x:c>
      <x:c r="L75" s="53" t="n">
        <x:f>IF(OR(B75="CONSUMO",B75="SAÍDA"),G75,0)</x:f>
        <x:v>0</x:v>
      </x:c>
      <x:c r="M75" s="53" t="n">
        <x:f>IF(C75="Farinheira",'Regras e Listas'!$D$4,IF(C75="Colorífico",'Regras e Listas'!$D$5,IF(C75="Farinha para o Flotamil",'Regras e Listas'!$D$6,0)))</x:f>
        <x:v>0</x:v>
      </x:c>
      <x:c r="N75" s="53" t="n">
        <x:f>K75*M75</x:f>
        <x:v>0</x:v>
      </x:c>
      <x:c r="O75" s="53" t="n">
        <x:f>L75*M75</x:f>
        <x:v>0</x:v>
      </x:c>
      <x:c r="P75" t="str">
        <x:f>IF(OR(B75="CONSUMO",B75="SAÍDA"),IF(ISNUMBER(SEARCH("não seguiu FIFO",I75)),"NÃO CONFORME",IF(ISNUMBER(SEARCH("FIFO automático",I75)),"CONFORME","VERIFICAR")),"")</x:f>
      </x:c>
    </x:row>
    <x:row r="76">
      <x:c r="A76" s="52"/>
      <x:c r="G76" s="53"/>
      <x:c r="K76" s="53" t="n">
        <x:f>IF(B76="ENTRADA",G76,0)</x:f>
        <x:v>0</x:v>
      </x:c>
      <x:c r="L76" s="53" t="n">
        <x:f>IF(OR(B76="CONSUMO",B76="SAÍDA"),G76,0)</x:f>
        <x:v>0</x:v>
      </x:c>
      <x:c r="M76" s="53" t="n">
        <x:f>IF(C76="Farinheira",'Regras e Listas'!$D$4,IF(C76="Colorífico",'Regras e Listas'!$D$5,IF(C76="Farinha para o Flotamil",'Regras e Listas'!$D$6,0)))</x:f>
        <x:v>0</x:v>
      </x:c>
      <x:c r="N76" s="53" t="n">
        <x:f>K76*M76</x:f>
        <x:v>0</x:v>
      </x:c>
      <x:c r="O76" s="53" t="n">
        <x:f>L76*M76</x:f>
        <x:v>0</x:v>
      </x:c>
      <x:c r="P76" t="str">
        <x:f>IF(OR(B76="CONSUMO",B76="SAÍDA"),IF(ISNUMBER(SEARCH("não seguiu FIFO",I76)),"NÃO CONFORME",IF(ISNUMBER(SEARCH("FIFO automático",I76)),"CONFORME","VERIFICAR")),"")</x:f>
      </x:c>
    </x:row>
    <x:row r="77">
      <x:c r="A77" s="52"/>
      <x:c r="G77" s="53"/>
      <x:c r="K77" s="53" t="n">
        <x:f>IF(B77="ENTRADA",G77,0)</x:f>
        <x:v>0</x:v>
      </x:c>
      <x:c r="L77" s="53" t="n">
        <x:f>IF(OR(B77="CONSUMO",B77="SAÍDA"),G77,0)</x:f>
        <x:v>0</x:v>
      </x:c>
      <x:c r="M77" s="53" t="n">
        <x:f>IF(C77="Farinheira",'Regras e Listas'!$D$4,IF(C77="Colorífico",'Regras e Listas'!$D$5,IF(C77="Farinha para o Flotamil",'Regras e Listas'!$D$6,0)))</x:f>
        <x:v>0</x:v>
      </x:c>
      <x:c r="N77" s="53" t="n">
        <x:f>K77*M77</x:f>
        <x:v>0</x:v>
      </x:c>
      <x:c r="O77" s="53" t="n">
        <x:f>L77*M77</x:f>
        <x:v>0</x:v>
      </x:c>
      <x:c r="P77" t="str">
        <x:f>IF(OR(B77="CONSUMO",B77="SAÍDA"),IF(ISNUMBER(SEARCH("não seguiu FIFO",I77)),"NÃO CONFORME",IF(ISNUMBER(SEARCH("FIFO automático",I77)),"CONFORME","VERIFICAR")),"")</x:f>
      </x:c>
    </x:row>
    <x:row r="78">
      <x:c r="A78" s="52"/>
      <x:c r="G78" s="53"/>
      <x:c r="K78" s="53" t="n">
        <x:f>IF(B78="ENTRADA",G78,0)</x:f>
        <x:v>0</x:v>
      </x:c>
      <x:c r="L78" s="53" t="n">
        <x:f>IF(OR(B78="CONSUMO",B78="SAÍDA"),G78,0)</x:f>
        <x:v>0</x:v>
      </x:c>
      <x:c r="M78" s="53" t="n">
        <x:f>IF(C78="Farinheira",'Regras e Listas'!$D$4,IF(C78="Colorífico",'Regras e Listas'!$D$5,IF(C78="Farinha para o Flotamil",'Regras e Listas'!$D$6,0)))</x:f>
        <x:v>0</x:v>
      </x:c>
      <x:c r="N78" s="53" t="n">
        <x:f>K78*M78</x:f>
        <x:v>0</x:v>
      </x:c>
      <x:c r="O78" s="53" t="n">
        <x:f>L78*M78</x:f>
        <x:v>0</x:v>
      </x:c>
      <x:c r="P78" t="str">
        <x:f>IF(OR(B78="CONSUMO",B78="SAÍDA"),IF(ISNUMBER(SEARCH("não seguiu FIFO",I78)),"NÃO CONFORME",IF(ISNUMBER(SEARCH("FIFO automático",I78)),"CONFORME","VERIFICAR")),"")</x:f>
      </x:c>
    </x:row>
    <x:row r="79">
      <x:c r="A79" s="52"/>
      <x:c r="G79" s="53"/>
      <x:c r="K79" s="53" t="n">
        <x:f>IF(B79="ENTRADA",G79,0)</x:f>
        <x:v>0</x:v>
      </x:c>
      <x:c r="L79" s="53" t="n">
        <x:f>IF(OR(B79="CONSUMO",B79="SAÍDA"),G79,0)</x:f>
        <x:v>0</x:v>
      </x:c>
      <x:c r="M79" s="53" t="n">
        <x:f>IF(C79="Farinheira",'Regras e Listas'!$D$4,IF(C79="Colorífico",'Regras e Listas'!$D$5,IF(C79="Farinha para o Flotamil",'Regras e Listas'!$D$6,0)))</x:f>
        <x:v>0</x:v>
      </x:c>
      <x:c r="N79" s="53" t="n">
        <x:f>K79*M79</x:f>
        <x:v>0</x:v>
      </x:c>
      <x:c r="O79" s="53" t="n">
        <x:f>L79*M79</x:f>
        <x:v>0</x:v>
      </x:c>
      <x:c r="P79" t="str">
        <x:f>IF(OR(B79="CONSUMO",B79="SAÍDA"),IF(ISNUMBER(SEARCH("não seguiu FIFO",I79)),"NÃO CONFORME",IF(ISNUMBER(SEARCH("FIFO automático",I79)),"CONFORME","VERIFICAR")),"")</x:f>
      </x:c>
    </x:row>
    <x:row r="80">
      <x:c r="A80" s="52"/>
      <x:c r="G80" s="53"/>
      <x:c r="K80" s="53" t="n">
        <x:f>IF(B80="ENTRADA",G80,0)</x:f>
        <x:v>0</x:v>
      </x:c>
      <x:c r="L80" s="53" t="n">
        <x:f>IF(OR(B80="CONSUMO",B80="SAÍDA"),G80,0)</x:f>
        <x:v>0</x:v>
      </x:c>
      <x:c r="M80" s="53" t="n">
        <x:f>IF(C80="Farinheira",'Regras e Listas'!$D$4,IF(C80="Colorífico",'Regras e Listas'!$D$5,IF(C80="Farinha para o Flotamil",'Regras e Listas'!$D$6,0)))</x:f>
        <x:v>0</x:v>
      </x:c>
      <x:c r="N80" s="53" t="n">
        <x:f>K80*M80</x:f>
        <x:v>0</x:v>
      </x:c>
      <x:c r="O80" s="53" t="n">
        <x:f>L80*M80</x:f>
        <x:v>0</x:v>
      </x:c>
      <x:c r="P80" t="str">
        <x:f>IF(OR(B80="CONSUMO",B80="SAÍDA"),IF(ISNUMBER(SEARCH("não seguiu FIFO",I80)),"NÃO CONFORME",IF(ISNUMBER(SEARCH("FIFO automático",I80)),"CONFORME","VERIFICAR")),"")</x:f>
      </x:c>
    </x:row>
    <x:row r="81">
      <x:c r="A81" s="52"/>
      <x:c r="G81" s="53"/>
      <x:c r="K81" s="53" t="n">
        <x:f>IF(B81="ENTRADA",G81,0)</x:f>
        <x:v>0</x:v>
      </x:c>
      <x:c r="L81" s="53" t="n">
        <x:f>IF(OR(B81="CONSUMO",B81="SAÍDA"),G81,0)</x:f>
        <x:v>0</x:v>
      </x:c>
      <x:c r="M81" s="53" t="n">
        <x:f>IF(C81="Farinheira",'Regras e Listas'!$D$4,IF(C81="Colorífico",'Regras e Listas'!$D$5,IF(C81="Farinha para o Flotamil",'Regras e Listas'!$D$6,0)))</x:f>
        <x:v>0</x:v>
      </x:c>
      <x:c r="N81" s="53" t="n">
        <x:f>K81*M81</x:f>
        <x:v>0</x:v>
      </x:c>
      <x:c r="O81" s="53" t="n">
        <x:f>L81*M81</x:f>
        <x:v>0</x:v>
      </x:c>
      <x:c r="P81" t="str">
        <x:f>IF(OR(B81="CONSUMO",B81="SAÍDA"),IF(ISNUMBER(SEARCH("não seguiu FIFO",I81)),"NÃO CONFORME",IF(ISNUMBER(SEARCH("FIFO automático",I81)),"CONFORME","VERIFICAR")),"")</x:f>
      </x:c>
    </x:row>
    <x:row r="82">
      <x:c r="A82" s="52"/>
      <x:c r="G82" s="53"/>
      <x:c r="K82" s="53" t="n">
        <x:f>IF(B82="ENTRADA",G82,0)</x:f>
        <x:v>0</x:v>
      </x:c>
      <x:c r="L82" s="53" t="n">
        <x:f>IF(OR(B82="CONSUMO",B82="SAÍDA"),G82,0)</x:f>
        <x:v>0</x:v>
      </x:c>
      <x:c r="M82" s="53" t="n">
        <x:f>IF(C82="Farinheira",'Regras e Listas'!$D$4,IF(C82="Colorífico",'Regras e Listas'!$D$5,IF(C82="Farinha para o Flotamil",'Regras e Listas'!$D$6,0)))</x:f>
        <x:v>0</x:v>
      </x:c>
      <x:c r="N82" s="53" t="n">
        <x:f>K82*M82</x:f>
        <x:v>0</x:v>
      </x:c>
      <x:c r="O82" s="53" t="n">
        <x:f>L82*M82</x:f>
        <x:v>0</x:v>
      </x:c>
      <x:c r="P82" t="str">
        <x:f>IF(OR(B82="CONSUMO",B82="SAÍDA"),IF(ISNUMBER(SEARCH("não seguiu FIFO",I82)),"NÃO CONFORME",IF(ISNUMBER(SEARCH("FIFO automático",I82)),"CONFORME","VERIFICAR")),"")</x:f>
      </x:c>
    </x:row>
    <x:row r="83">
      <x:c r="A83" s="52"/>
      <x:c r="G83" s="53"/>
      <x:c r="K83" s="53" t="n">
        <x:f>IF(B83="ENTRADA",G83,0)</x:f>
        <x:v>0</x:v>
      </x:c>
      <x:c r="L83" s="53" t="n">
        <x:f>IF(OR(B83="CONSUMO",B83="SAÍDA"),G83,0)</x:f>
        <x:v>0</x:v>
      </x:c>
      <x:c r="M83" s="53" t="n">
        <x:f>IF(C83="Farinheira",'Regras e Listas'!$D$4,IF(C83="Colorífico",'Regras e Listas'!$D$5,IF(C83="Farinha para o Flotamil",'Regras e Listas'!$D$6,0)))</x:f>
        <x:v>0</x:v>
      </x:c>
      <x:c r="N83" s="53" t="n">
        <x:f>K83*M83</x:f>
        <x:v>0</x:v>
      </x:c>
      <x:c r="O83" s="53" t="n">
        <x:f>L83*M83</x:f>
        <x:v>0</x:v>
      </x:c>
      <x:c r="P83" t="str">
        <x:f>IF(OR(B83="CONSUMO",B83="SAÍDA"),IF(ISNUMBER(SEARCH("não seguiu FIFO",I83)),"NÃO CONFORME",IF(ISNUMBER(SEARCH("FIFO automático",I83)),"CONFORME","VERIFICAR")),"")</x:f>
      </x:c>
    </x:row>
    <x:row r="84">
      <x:c r="A84" s="52"/>
      <x:c r="G84" s="53"/>
      <x:c r="K84" s="53" t="n">
        <x:f>IF(B84="ENTRADA",G84,0)</x:f>
        <x:v>0</x:v>
      </x:c>
      <x:c r="L84" s="53" t="n">
        <x:f>IF(OR(B84="CONSUMO",B84="SAÍDA"),G84,0)</x:f>
        <x:v>0</x:v>
      </x:c>
      <x:c r="M84" s="53" t="n">
        <x:f>IF(C84="Farinheira",'Regras e Listas'!$D$4,IF(C84="Colorífico",'Regras e Listas'!$D$5,IF(C84="Farinha para o Flotamil",'Regras e Listas'!$D$6,0)))</x:f>
        <x:v>0</x:v>
      </x:c>
      <x:c r="N84" s="53" t="n">
        <x:f>K84*M84</x:f>
        <x:v>0</x:v>
      </x:c>
      <x:c r="O84" s="53" t="n">
        <x:f>L84*M84</x:f>
        <x:v>0</x:v>
      </x:c>
      <x:c r="P84" t="str">
        <x:f>IF(OR(B84="CONSUMO",B84="SAÍDA"),IF(ISNUMBER(SEARCH("não seguiu FIFO",I84)),"NÃO CONFORME",IF(ISNUMBER(SEARCH("FIFO automático",I84)),"CONFORME","VERIFICAR")),"")</x:f>
      </x:c>
    </x:row>
    <x:row r="85">
      <x:c r="A85" s="52"/>
      <x:c r="G85" s="53"/>
      <x:c r="K85" s="53" t="n">
        <x:f>IF(B85="ENTRADA",G85,0)</x:f>
        <x:v>0</x:v>
      </x:c>
      <x:c r="L85" s="53" t="n">
        <x:f>IF(OR(B85="CONSUMO",B85="SAÍDA"),G85,0)</x:f>
        <x:v>0</x:v>
      </x:c>
      <x:c r="M85" s="53" t="n">
        <x:f>IF(C85="Farinheira",'Regras e Listas'!$D$4,IF(C85="Colorífico",'Regras e Listas'!$D$5,IF(C85="Farinha para o Flotamil",'Regras e Listas'!$D$6,0)))</x:f>
        <x:v>0</x:v>
      </x:c>
      <x:c r="N85" s="53" t="n">
        <x:f>K85*M85</x:f>
        <x:v>0</x:v>
      </x:c>
      <x:c r="O85" s="53" t="n">
        <x:f>L85*M85</x:f>
        <x:v>0</x:v>
      </x:c>
      <x:c r="P85" t="str">
        <x:f>IF(OR(B85="CONSUMO",B85="SAÍDA"),IF(ISNUMBER(SEARCH("não seguiu FIFO",I85)),"NÃO CONFORME",IF(ISNUMBER(SEARCH("FIFO automático",I85)),"CONFORME","VERIFICAR")),"")</x:f>
      </x:c>
    </x:row>
    <x:row r="86">
      <x:c r="A86" s="52"/>
      <x:c r="G86" s="53"/>
      <x:c r="K86" s="53" t="n">
        <x:f>IF(B86="ENTRADA",G86,0)</x:f>
        <x:v>0</x:v>
      </x:c>
      <x:c r="L86" s="53" t="n">
        <x:f>IF(OR(B86="CONSUMO",B86="SAÍDA"),G86,0)</x:f>
        <x:v>0</x:v>
      </x:c>
      <x:c r="M86" s="53" t="n">
        <x:f>IF(C86="Farinheira",'Regras e Listas'!$D$4,IF(C86="Colorífico",'Regras e Listas'!$D$5,IF(C86="Farinha para o Flotamil",'Regras e Listas'!$D$6,0)))</x:f>
        <x:v>0</x:v>
      </x:c>
      <x:c r="N86" s="53" t="n">
        <x:f>K86*M86</x:f>
        <x:v>0</x:v>
      </x:c>
      <x:c r="O86" s="53" t="n">
        <x:f>L86*M86</x:f>
        <x:v>0</x:v>
      </x:c>
      <x:c r="P86" t="str">
        <x:f>IF(OR(B86="CONSUMO",B86="SAÍDA"),IF(ISNUMBER(SEARCH("não seguiu FIFO",I86)),"NÃO CONFORME",IF(ISNUMBER(SEARCH("FIFO automático",I86)),"CONFORME","VERIFICAR")),"")</x:f>
      </x:c>
    </x:row>
    <x:row r="87">
      <x:c r="A87" s="52"/>
      <x:c r="G87" s="53"/>
      <x:c r="K87" s="53" t="n">
        <x:f>IF(B87="ENTRADA",G87,0)</x:f>
        <x:v>0</x:v>
      </x:c>
      <x:c r="L87" s="53" t="n">
        <x:f>IF(OR(B87="CONSUMO",B87="SAÍDA"),G87,0)</x:f>
        <x:v>0</x:v>
      </x:c>
      <x:c r="M87" s="53" t="n">
        <x:f>IF(C87="Farinheira",'Regras e Listas'!$D$4,IF(C87="Colorífico",'Regras e Listas'!$D$5,IF(C87="Farinha para o Flotamil",'Regras e Listas'!$D$6,0)))</x:f>
        <x:v>0</x:v>
      </x:c>
      <x:c r="N87" s="53" t="n">
        <x:f>K87*M87</x:f>
        <x:v>0</x:v>
      </x:c>
      <x:c r="O87" s="53" t="n">
        <x:f>L87*M87</x:f>
        <x:v>0</x:v>
      </x:c>
      <x:c r="P87" t="str">
        <x:f>IF(OR(B87="CONSUMO",B87="SAÍDA"),IF(ISNUMBER(SEARCH("não seguiu FIFO",I87)),"NÃO CONFORME",IF(ISNUMBER(SEARCH("FIFO automático",I87)),"CONFORME","VERIFICAR")),"")</x:f>
      </x:c>
    </x:row>
    <x:row r="88">
      <x:c r="A88" s="52"/>
      <x:c r="G88" s="53"/>
      <x:c r="K88" s="53" t="n">
        <x:f>IF(B88="ENTRADA",G88,0)</x:f>
        <x:v>0</x:v>
      </x:c>
      <x:c r="L88" s="53" t="n">
        <x:f>IF(OR(B88="CONSUMO",B88="SAÍDA"),G88,0)</x:f>
        <x:v>0</x:v>
      </x:c>
      <x:c r="M88" s="53" t="n">
        <x:f>IF(C88="Farinheira",'Regras e Listas'!$D$4,IF(C88="Colorífico",'Regras e Listas'!$D$5,IF(C88="Farinha para o Flotamil",'Regras e Listas'!$D$6,0)))</x:f>
        <x:v>0</x:v>
      </x:c>
      <x:c r="N88" s="53" t="n">
        <x:f>K88*M88</x:f>
        <x:v>0</x:v>
      </x:c>
      <x:c r="O88" s="53" t="n">
        <x:f>L88*M88</x:f>
        <x:v>0</x:v>
      </x:c>
      <x:c r="P88" t="str">
        <x:f>IF(OR(B88="CONSUMO",B88="SAÍDA"),IF(ISNUMBER(SEARCH("não seguiu FIFO",I88)),"NÃO CONFORME",IF(ISNUMBER(SEARCH("FIFO automático",I88)),"CONFORME","VERIFICAR")),"")</x:f>
      </x:c>
    </x:row>
    <x:row r="89">
      <x:c r="A89" s="52"/>
      <x:c r="G89" s="53"/>
      <x:c r="K89" s="53" t="n">
        <x:f>IF(B89="ENTRADA",G89,0)</x:f>
        <x:v>0</x:v>
      </x:c>
      <x:c r="L89" s="53" t="n">
        <x:f>IF(OR(B89="CONSUMO",B89="SAÍDA"),G89,0)</x:f>
        <x:v>0</x:v>
      </x:c>
      <x:c r="M89" s="53" t="n">
        <x:f>IF(C89="Farinheira",'Regras e Listas'!$D$4,IF(C89="Colorífico",'Regras e Listas'!$D$5,IF(C89="Farinha para o Flotamil",'Regras e Listas'!$D$6,0)))</x:f>
        <x:v>0</x:v>
      </x:c>
      <x:c r="N89" s="53" t="n">
        <x:f>K89*M89</x:f>
        <x:v>0</x:v>
      </x:c>
      <x:c r="O89" s="53" t="n">
        <x:f>L89*M89</x:f>
        <x:v>0</x:v>
      </x:c>
      <x:c r="P89" t="str">
        <x:f>IF(OR(B89="CONSUMO",B89="SAÍDA"),IF(ISNUMBER(SEARCH("não seguiu FIFO",I89)),"NÃO CONFORME",IF(ISNUMBER(SEARCH("FIFO automático",I89)),"CONFORME","VERIFICAR")),"")</x:f>
      </x:c>
    </x:row>
    <x:row r="90">
      <x:c r="A90" s="52"/>
      <x:c r="G90" s="53"/>
      <x:c r="K90" s="53" t="n">
        <x:f>IF(B90="ENTRADA",G90,0)</x:f>
        <x:v>0</x:v>
      </x:c>
      <x:c r="L90" s="53" t="n">
        <x:f>IF(OR(B90="CONSUMO",B90="SAÍDA"),G90,0)</x:f>
        <x:v>0</x:v>
      </x:c>
      <x:c r="M90" s="53" t="n">
        <x:f>IF(C90="Farinheira",'Regras e Listas'!$D$4,IF(C90="Colorífico",'Regras e Listas'!$D$5,IF(C90="Farinha para o Flotamil",'Regras e Listas'!$D$6,0)))</x:f>
        <x:v>0</x:v>
      </x:c>
      <x:c r="N90" s="53" t="n">
        <x:f>K90*M90</x:f>
        <x:v>0</x:v>
      </x:c>
      <x:c r="O90" s="53" t="n">
        <x:f>L90*M90</x:f>
        <x:v>0</x:v>
      </x:c>
      <x:c r="P90" t="str">
        <x:f>IF(OR(B90="CONSUMO",B90="SAÍDA"),IF(ISNUMBER(SEARCH("não seguiu FIFO",I90)),"NÃO CONFORME",IF(ISNUMBER(SEARCH("FIFO automático",I90)),"CONFORME","VERIFICAR")),"")</x:f>
      </x:c>
    </x:row>
    <x:row r="91">
      <x:c r="A91" s="52"/>
      <x:c r="G91" s="53"/>
      <x:c r="K91" s="53" t="n">
        <x:f>IF(B91="ENTRADA",G91,0)</x:f>
        <x:v>0</x:v>
      </x:c>
      <x:c r="L91" s="53" t="n">
        <x:f>IF(OR(B91="CONSUMO",B91="SAÍDA"),G91,0)</x:f>
        <x:v>0</x:v>
      </x:c>
      <x:c r="M91" s="53" t="n">
        <x:f>IF(C91="Farinheira",'Regras e Listas'!$D$4,IF(C91="Colorífico",'Regras e Listas'!$D$5,IF(C91="Farinha para o Flotamil",'Regras e Listas'!$D$6,0)))</x:f>
        <x:v>0</x:v>
      </x:c>
      <x:c r="N91" s="53" t="n">
        <x:f>K91*M91</x:f>
        <x:v>0</x:v>
      </x:c>
      <x:c r="O91" s="53" t="n">
        <x:f>L91*M91</x:f>
        <x:v>0</x:v>
      </x:c>
      <x:c r="P91" t="str">
        <x:f>IF(OR(B91="CONSUMO",B91="SAÍDA"),IF(ISNUMBER(SEARCH("não seguiu FIFO",I91)),"NÃO CONFORME",IF(ISNUMBER(SEARCH("FIFO automático",I91)),"CONFORME","VERIFICAR")),"")</x:f>
      </x:c>
    </x:row>
    <x:row r="92">
      <x:c r="A92" s="52"/>
      <x:c r="G92" s="53"/>
      <x:c r="K92" s="53" t="n">
        <x:f>IF(B92="ENTRADA",G92,0)</x:f>
        <x:v>0</x:v>
      </x:c>
      <x:c r="L92" s="53" t="n">
        <x:f>IF(OR(B92="CONSUMO",B92="SAÍDA"),G92,0)</x:f>
        <x:v>0</x:v>
      </x:c>
      <x:c r="M92" s="53" t="n">
        <x:f>IF(C92="Farinheira",'Regras e Listas'!$D$4,IF(C92="Colorífico",'Regras e Listas'!$D$5,IF(C92="Farinha para o Flotamil",'Regras e Listas'!$D$6,0)))</x:f>
        <x:v>0</x:v>
      </x:c>
      <x:c r="N92" s="53" t="n">
        <x:f>K92*M92</x:f>
        <x:v>0</x:v>
      </x:c>
      <x:c r="O92" s="53" t="n">
        <x:f>L92*M92</x:f>
        <x:v>0</x:v>
      </x:c>
      <x:c r="P92" t="str">
        <x:f>IF(OR(B92="CONSUMO",B92="SAÍDA"),IF(ISNUMBER(SEARCH("não seguiu FIFO",I92)),"NÃO CONFORME",IF(ISNUMBER(SEARCH("FIFO automático",I92)),"CONFORME","VERIFICAR")),"")</x:f>
      </x:c>
    </x:row>
    <x:row r="93">
      <x:c r="A93" s="52"/>
      <x:c r="G93" s="53"/>
      <x:c r="K93" s="53" t="n">
        <x:f>IF(B93="ENTRADA",G93,0)</x:f>
        <x:v>0</x:v>
      </x:c>
      <x:c r="L93" s="53" t="n">
        <x:f>IF(OR(B93="CONSUMO",B93="SAÍDA"),G93,0)</x:f>
        <x:v>0</x:v>
      </x:c>
      <x:c r="M93" s="53" t="n">
        <x:f>IF(C93="Farinheira",'Regras e Listas'!$D$4,IF(C93="Colorífico",'Regras e Listas'!$D$5,IF(C93="Farinha para o Flotamil",'Regras e Listas'!$D$6,0)))</x:f>
        <x:v>0</x:v>
      </x:c>
      <x:c r="N93" s="53" t="n">
        <x:f>K93*M93</x:f>
        <x:v>0</x:v>
      </x:c>
      <x:c r="O93" s="53" t="n">
        <x:f>L93*M93</x:f>
        <x:v>0</x:v>
      </x:c>
      <x:c r="P93" t="str">
        <x:f>IF(OR(B93="CONSUMO",B93="SAÍDA"),IF(ISNUMBER(SEARCH("não seguiu FIFO",I93)),"NÃO CONFORME",IF(ISNUMBER(SEARCH("FIFO automático",I93)),"CONFORME","VERIFICAR")),"")</x:f>
      </x:c>
    </x:row>
    <x:row r="94">
      <x:c r="A94" s="52"/>
      <x:c r="G94" s="53"/>
      <x:c r="K94" s="53" t="n">
        <x:f>IF(B94="ENTRADA",G94,0)</x:f>
        <x:v>0</x:v>
      </x:c>
      <x:c r="L94" s="53" t="n">
        <x:f>IF(OR(B94="CONSUMO",B94="SAÍDA"),G94,0)</x:f>
        <x:v>0</x:v>
      </x:c>
      <x:c r="M94" s="53" t="n">
        <x:f>IF(C94="Farinheira",'Regras e Listas'!$D$4,IF(C94="Colorífico",'Regras e Listas'!$D$5,IF(C94="Farinha para o Flotamil",'Regras e Listas'!$D$6,0)))</x:f>
        <x:v>0</x:v>
      </x:c>
      <x:c r="N94" s="53" t="n">
        <x:f>K94*M94</x:f>
        <x:v>0</x:v>
      </x:c>
      <x:c r="O94" s="53" t="n">
        <x:f>L94*M94</x:f>
        <x:v>0</x:v>
      </x:c>
      <x:c r="P94" t="str">
        <x:f>IF(OR(B94="CONSUMO",B94="SAÍDA"),IF(ISNUMBER(SEARCH("não seguiu FIFO",I94)),"NÃO CONFORME",IF(ISNUMBER(SEARCH("FIFO automático",I94)),"CONFORME","VERIFICAR")),"")</x:f>
      </x:c>
    </x:row>
    <x:row r="95">
      <x:c r="A95" s="52"/>
      <x:c r="G95" s="53"/>
      <x:c r="K95" s="53" t="n">
        <x:f>IF(B95="ENTRADA",G95,0)</x:f>
        <x:v>0</x:v>
      </x:c>
      <x:c r="L95" s="53" t="n">
        <x:f>IF(OR(B95="CONSUMO",B95="SAÍDA"),G95,0)</x:f>
        <x:v>0</x:v>
      </x:c>
      <x:c r="M95" s="53" t="n">
        <x:f>IF(C95="Farinheira",'Regras e Listas'!$D$4,IF(C95="Colorífico",'Regras e Listas'!$D$5,IF(C95="Farinha para o Flotamil",'Regras e Listas'!$D$6,0)))</x:f>
        <x:v>0</x:v>
      </x:c>
      <x:c r="N95" s="53" t="n">
        <x:f>K95*M95</x:f>
        <x:v>0</x:v>
      </x:c>
      <x:c r="O95" s="53" t="n">
        <x:f>L95*M95</x:f>
        <x:v>0</x:v>
      </x:c>
      <x:c r="P95" t="str">
        <x:f>IF(OR(B95="CONSUMO",B95="SAÍDA"),IF(ISNUMBER(SEARCH("não seguiu FIFO",I95)),"NÃO CONFORME",IF(ISNUMBER(SEARCH("FIFO automático",I95)),"CONFORME","VERIFICAR")),"")</x:f>
      </x:c>
    </x:row>
    <x:row r="96">
      <x:c r="A96" s="52"/>
      <x:c r="G96" s="53"/>
      <x:c r="K96" s="53" t="n">
        <x:f>IF(B96="ENTRADA",G96,0)</x:f>
        <x:v>0</x:v>
      </x:c>
      <x:c r="L96" s="53" t="n">
        <x:f>IF(OR(B96="CONSUMO",B96="SAÍDA"),G96,0)</x:f>
        <x:v>0</x:v>
      </x:c>
      <x:c r="M96" s="53" t="n">
        <x:f>IF(C96="Farinheira",'Regras e Listas'!$D$4,IF(C96="Colorífico",'Regras e Listas'!$D$5,IF(C96="Farinha para o Flotamil",'Regras e Listas'!$D$6,0)))</x:f>
        <x:v>0</x:v>
      </x:c>
      <x:c r="N96" s="53" t="n">
        <x:f>K96*M96</x:f>
        <x:v>0</x:v>
      </x:c>
      <x:c r="O96" s="53" t="n">
        <x:f>L96*M96</x:f>
        <x:v>0</x:v>
      </x:c>
      <x:c r="P96" t="str">
        <x:f>IF(OR(B96="CONSUMO",B96="SAÍDA"),IF(ISNUMBER(SEARCH("não seguiu FIFO",I96)),"NÃO CONFORME",IF(ISNUMBER(SEARCH("FIFO automático",I96)),"CONFORME","VERIFICAR")),"")</x:f>
      </x:c>
    </x:row>
    <x:row r="97">
      <x:c r="A97" s="52"/>
      <x:c r="G97" s="53"/>
      <x:c r="K97" s="53" t="n">
        <x:f>IF(B97="ENTRADA",G97,0)</x:f>
        <x:v>0</x:v>
      </x:c>
      <x:c r="L97" s="53" t="n">
        <x:f>IF(OR(B97="CONSUMO",B97="SAÍDA"),G97,0)</x:f>
        <x:v>0</x:v>
      </x:c>
      <x:c r="M97" s="53" t="n">
        <x:f>IF(C97="Farinheira",'Regras e Listas'!$D$4,IF(C97="Colorífico",'Regras e Listas'!$D$5,IF(C97="Farinha para o Flotamil",'Regras e Listas'!$D$6,0)))</x:f>
        <x:v>0</x:v>
      </x:c>
      <x:c r="N97" s="53" t="n">
        <x:f>K97*M97</x:f>
        <x:v>0</x:v>
      </x:c>
      <x:c r="O97" s="53" t="n">
        <x:f>L97*M97</x:f>
        <x:v>0</x:v>
      </x:c>
      <x:c r="P97" t="str">
        <x:f>IF(OR(B97="CONSUMO",B97="SAÍDA"),IF(ISNUMBER(SEARCH("não seguiu FIFO",I97)),"NÃO CONFORME",IF(ISNUMBER(SEARCH("FIFO automático",I97)),"CONFORME","VERIFICAR")),"")</x:f>
      </x:c>
    </x:row>
    <x:row r="98">
      <x:c r="A98" s="52"/>
      <x:c r="G98" s="53"/>
      <x:c r="K98" s="53" t="n">
        <x:f>IF(B98="ENTRADA",G98,0)</x:f>
        <x:v>0</x:v>
      </x:c>
      <x:c r="L98" s="53" t="n">
        <x:f>IF(OR(B98="CONSUMO",B98="SAÍDA"),G98,0)</x:f>
        <x:v>0</x:v>
      </x:c>
      <x:c r="M98" s="53" t="n">
        <x:f>IF(C98="Farinheira",'Regras e Listas'!$D$4,IF(C98="Colorífico",'Regras e Listas'!$D$5,IF(C98="Farinha para o Flotamil",'Regras e Listas'!$D$6,0)))</x:f>
        <x:v>0</x:v>
      </x:c>
      <x:c r="N98" s="53" t="n">
        <x:f>K98*M98</x:f>
        <x:v>0</x:v>
      </x:c>
      <x:c r="O98" s="53" t="n">
        <x:f>L98*M98</x:f>
        <x:v>0</x:v>
      </x:c>
      <x:c r="P98" t="str">
        <x:f>IF(OR(B98="CONSUMO",B98="SAÍDA"),IF(ISNUMBER(SEARCH("não seguiu FIFO",I98)),"NÃO CONFORME",IF(ISNUMBER(SEARCH("FIFO automático",I98)),"CONFORME","VERIFICAR")),"")</x:f>
      </x:c>
    </x:row>
    <x:row r="99">
      <x:c r="A99" s="52"/>
      <x:c r="G99" s="53"/>
      <x:c r="K99" s="53" t="n">
        <x:f>IF(B99="ENTRADA",G99,0)</x:f>
        <x:v>0</x:v>
      </x:c>
      <x:c r="L99" s="53" t="n">
        <x:f>IF(OR(B99="CONSUMO",B99="SAÍDA"),G99,0)</x:f>
        <x:v>0</x:v>
      </x:c>
      <x:c r="M99" s="53" t="n">
        <x:f>IF(C99="Farinheira",'Regras e Listas'!$D$4,IF(C99="Colorífico",'Regras e Listas'!$D$5,IF(C99="Farinha para o Flotamil",'Regras e Listas'!$D$6,0)))</x:f>
        <x:v>0</x:v>
      </x:c>
      <x:c r="N99" s="53" t="n">
        <x:f>K99*M99</x:f>
        <x:v>0</x:v>
      </x:c>
      <x:c r="O99" s="53" t="n">
        <x:f>L99*M99</x:f>
        <x:v>0</x:v>
      </x:c>
      <x:c r="P99" t="str">
        <x:f>IF(OR(B99="CONSUMO",B99="SAÍDA"),IF(ISNUMBER(SEARCH("não seguiu FIFO",I99)),"NÃO CONFORME",IF(ISNUMBER(SEARCH("FIFO automático",I99)),"CONFORME","VERIFICAR")),"")</x:f>
      </x:c>
    </x:row>
    <x:row r="100">
      <x:c r="A100" s="52"/>
      <x:c r="G100" s="53"/>
      <x:c r="K100" s="53" t="n">
        <x:f>IF(B100="ENTRADA",G100,0)</x:f>
        <x:v>0</x:v>
      </x:c>
      <x:c r="L100" s="53" t="n">
        <x:f>IF(OR(B100="CONSUMO",B100="SAÍDA"),G100,0)</x:f>
        <x:v>0</x:v>
      </x:c>
      <x:c r="M100" s="53" t="n">
        <x:f>IF(C100="Farinheira",'Regras e Listas'!$D$4,IF(C100="Colorífico",'Regras e Listas'!$D$5,IF(C100="Farinha para o Flotamil",'Regras e Listas'!$D$6,0)))</x:f>
        <x:v>0</x:v>
      </x:c>
      <x:c r="N100" s="53" t="n">
        <x:f>K100*M100</x:f>
        <x:v>0</x:v>
      </x:c>
      <x:c r="O100" s="53" t="n">
        <x:f>L100*M100</x:f>
        <x:v>0</x:v>
      </x:c>
      <x:c r="P100" t="str">
        <x:f>IF(OR(B100="CONSUMO",B100="SAÍDA"),IF(ISNUMBER(SEARCH("não seguiu FIFO",I100)),"NÃO CONFORME",IF(ISNUMBER(SEARCH("FIFO automático",I100)),"CONFORME","VERIFICAR")),"")</x:f>
      </x:c>
    </x:row>
    <x:row r="101">
      <x:c r="A101" s="52"/>
      <x:c r="G101" s="53"/>
      <x:c r="K101" s="53" t="n">
        <x:f>IF(B101="ENTRADA",G101,0)</x:f>
        <x:v>0</x:v>
      </x:c>
      <x:c r="L101" s="53" t="n">
        <x:f>IF(OR(B101="CONSUMO",B101="SAÍDA"),G101,0)</x:f>
        <x:v>0</x:v>
      </x:c>
      <x:c r="M101" s="53" t="n">
        <x:f>IF(C101="Farinheira",'Regras e Listas'!$D$4,IF(C101="Colorífico",'Regras e Listas'!$D$5,IF(C101="Farinha para o Flotamil",'Regras e Listas'!$D$6,0)))</x:f>
        <x:v>0</x:v>
      </x:c>
      <x:c r="N101" s="53" t="n">
        <x:f>K101*M101</x:f>
        <x:v>0</x:v>
      </x:c>
      <x:c r="O101" s="53" t="n">
        <x:f>L101*M101</x:f>
        <x:v>0</x:v>
      </x:c>
      <x:c r="P101" t="str">
        <x:f>IF(OR(B101="CONSUMO",B101="SAÍDA"),IF(ISNUMBER(SEARCH("não seguiu FIFO",I101)),"NÃO CONFORME",IF(ISNUMBER(SEARCH("FIFO automático",I101)),"CONFORME","VERIFICAR")),"")</x:f>
      </x:c>
    </x:row>
    <x:row r="102">
      <x:c r="A102" s="52"/>
      <x:c r="G102" s="53"/>
      <x:c r="K102" s="53" t="n">
        <x:f>IF(B102="ENTRADA",G102,0)</x:f>
        <x:v>0</x:v>
      </x:c>
      <x:c r="L102" s="53" t="n">
        <x:f>IF(OR(B102="CONSUMO",B102="SAÍDA"),G102,0)</x:f>
        <x:v>0</x:v>
      </x:c>
      <x:c r="M102" s="53" t="n">
        <x:f>IF(C102="Farinheira",'Regras e Listas'!$D$4,IF(C102="Colorífico",'Regras e Listas'!$D$5,IF(C102="Farinha para o Flotamil",'Regras e Listas'!$D$6,0)))</x:f>
        <x:v>0</x:v>
      </x:c>
      <x:c r="N102" s="53" t="n">
        <x:f>K102*M102</x:f>
        <x:v>0</x:v>
      </x:c>
      <x:c r="O102" s="53" t="n">
        <x:f>L102*M102</x:f>
        <x:v>0</x:v>
      </x:c>
      <x:c r="P102" t="str">
        <x:f>IF(OR(B102="CONSUMO",B102="SAÍDA"),IF(ISNUMBER(SEARCH("não seguiu FIFO",I102)),"NÃO CONFORME",IF(ISNUMBER(SEARCH("FIFO automático",I102)),"CONFORME","VERIFICAR")),"")</x:f>
      </x:c>
    </x:row>
    <x:row r="103">
      <x:c r="A103" s="52"/>
      <x:c r="G103" s="53"/>
      <x:c r="K103" s="53" t="n">
        <x:f>IF(B103="ENTRADA",G103,0)</x:f>
        <x:v>0</x:v>
      </x:c>
      <x:c r="L103" s="53" t="n">
        <x:f>IF(OR(B103="CONSUMO",B103="SAÍDA"),G103,0)</x:f>
        <x:v>0</x:v>
      </x:c>
      <x:c r="M103" s="53" t="n">
        <x:f>IF(C103="Farinheira",'Regras e Listas'!$D$4,IF(C103="Colorífico",'Regras e Listas'!$D$5,IF(C103="Farinha para o Flotamil",'Regras e Listas'!$D$6,0)))</x:f>
        <x:v>0</x:v>
      </x:c>
      <x:c r="N103" s="53" t="n">
        <x:f>K103*M103</x:f>
        <x:v>0</x:v>
      </x:c>
      <x:c r="O103" s="53" t="n">
        <x:f>L103*M103</x:f>
        <x:v>0</x:v>
      </x:c>
      <x:c r="P103" t="str">
        <x:f>IF(OR(B103="CONSUMO",B103="SAÍDA"),IF(ISNUMBER(SEARCH("não seguiu FIFO",I103)),"NÃO CONFORME",IF(ISNUMBER(SEARCH("FIFO automático",I103)),"CONFORME","VERIFICAR")),"")</x:f>
      </x:c>
    </x:row>
    <x:row r="104">
      <x:c r="A104" s="52"/>
      <x:c r="G104" s="53"/>
      <x:c r="K104" s="53" t="n">
        <x:f>IF(B104="ENTRADA",G104,0)</x:f>
        <x:v>0</x:v>
      </x:c>
      <x:c r="L104" s="53" t="n">
        <x:f>IF(OR(B104="CONSUMO",B104="SAÍDA"),G104,0)</x:f>
        <x:v>0</x:v>
      </x:c>
      <x:c r="M104" s="53" t="n">
        <x:f>IF(C104="Farinheira",'Regras e Listas'!$D$4,IF(C104="Colorífico",'Regras e Listas'!$D$5,IF(C104="Farinha para o Flotamil",'Regras e Listas'!$D$6,0)))</x:f>
        <x:v>0</x:v>
      </x:c>
      <x:c r="N104" s="53" t="n">
        <x:f>K104*M104</x:f>
        <x:v>0</x:v>
      </x:c>
      <x:c r="O104" s="53" t="n">
        <x:f>L104*M104</x:f>
        <x:v>0</x:v>
      </x:c>
      <x:c r="P104" t="str">
        <x:f>IF(OR(B104="CONSUMO",B104="SAÍDA"),IF(ISNUMBER(SEARCH("não seguiu FIFO",I104)),"NÃO CONFORME",IF(ISNUMBER(SEARCH("FIFO automático",I104)),"CONFORME","VERIFICAR")),"")</x:f>
      </x:c>
    </x:row>
    <x:row r="105">
      <x:c r="A105" s="52"/>
      <x:c r="G105" s="53"/>
      <x:c r="K105" s="53" t="n">
        <x:f>IF(B105="ENTRADA",G105,0)</x:f>
        <x:v>0</x:v>
      </x:c>
      <x:c r="L105" s="53" t="n">
        <x:f>IF(OR(B105="CONSUMO",B105="SAÍDA"),G105,0)</x:f>
        <x:v>0</x:v>
      </x:c>
      <x:c r="M105" s="53" t="n">
        <x:f>IF(C105="Farinheira",'Regras e Listas'!$D$4,IF(C105="Colorífico",'Regras e Listas'!$D$5,IF(C105="Farinha para o Flotamil",'Regras e Listas'!$D$6,0)))</x:f>
        <x:v>0</x:v>
      </x:c>
      <x:c r="N105" s="53" t="n">
        <x:f>K105*M105</x:f>
        <x:v>0</x:v>
      </x:c>
      <x:c r="O105" s="53" t="n">
        <x:f>L105*M105</x:f>
        <x:v>0</x:v>
      </x:c>
      <x:c r="P105" t="str">
        <x:f>IF(OR(B105="CONSUMO",B105="SAÍDA"),IF(ISNUMBER(SEARCH("não seguiu FIFO",I105)),"NÃO CONFORME",IF(ISNUMBER(SEARCH("FIFO automático",I105)),"CONFORME","VERIFICAR")),"")</x:f>
      </x:c>
    </x:row>
    <x:row r="106">
      <x:c r="A106" s="52"/>
      <x:c r="G106" s="53"/>
      <x:c r="K106" s="53" t="n">
        <x:f>IF(B106="ENTRADA",G106,0)</x:f>
        <x:v>0</x:v>
      </x:c>
      <x:c r="L106" s="53" t="n">
        <x:f>IF(OR(B106="CONSUMO",B106="SAÍDA"),G106,0)</x:f>
        <x:v>0</x:v>
      </x:c>
      <x:c r="M106" s="53" t="n">
        <x:f>IF(C106="Farinheira",'Regras e Listas'!$D$4,IF(C106="Colorífico",'Regras e Listas'!$D$5,IF(C106="Farinha para o Flotamil",'Regras e Listas'!$D$6,0)))</x:f>
        <x:v>0</x:v>
      </x:c>
      <x:c r="N106" s="53" t="n">
        <x:f>K106*M106</x:f>
        <x:v>0</x:v>
      </x:c>
      <x:c r="O106" s="53" t="n">
        <x:f>L106*M106</x:f>
        <x:v>0</x:v>
      </x:c>
      <x:c r="P106" t="str">
        <x:f>IF(OR(B106="CONSUMO",B106="SAÍDA"),IF(ISNUMBER(SEARCH("não seguiu FIFO",I106)),"NÃO CONFORME",IF(ISNUMBER(SEARCH("FIFO automático",I106)),"CONFORME","VERIFICAR")),"")</x:f>
      </x:c>
    </x:row>
    <x:row r="107">
      <x:c r="A107" s="52"/>
      <x:c r="G107" s="53"/>
      <x:c r="K107" s="53" t="n">
        <x:f>IF(B107="ENTRADA",G107,0)</x:f>
        <x:v>0</x:v>
      </x:c>
      <x:c r="L107" s="53" t="n">
        <x:f>IF(OR(B107="CONSUMO",B107="SAÍDA"),G107,0)</x:f>
        <x:v>0</x:v>
      </x:c>
      <x:c r="M107" s="53" t="n">
        <x:f>IF(C107="Farinheira",'Regras e Listas'!$D$4,IF(C107="Colorífico",'Regras e Listas'!$D$5,IF(C107="Farinha para o Flotamil",'Regras e Listas'!$D$6,0)))</x:f>
        <x:v>0</x:v>
      </x:c>
      <x:c r="N107" s="53" t="n">
        <x:f>K107*M107</x:f>
        <x:v>0</x:v>
      </x:c>
      <x:c r="O107" s="53" t="n">
        <x:f>L107*M107</x:f>
        <x:v>0</x:v>
      </x:c>
      <x:c r="P107" t="str">
        <x:f>IF(OR(B107="CONSUMO",B107="SAÍDA"),IF(ISNUMBER(SEARCH("não seguiu FIFO",I107)),"NÃO CONFORME",IF(ISNUMBER(SEARCH("FIFO automático",I107)),"CONFORME","VERIFICAR")),"")</x:f>
      </x:c>
    </x:row>
    <x:row r="108">
      <x:c r="A108" s="52"/>
      <x:c r="G108" s="53"/>
      <x:c r="K108" s="53" t="n">
        <x:f>IF(B108="ENTRADA",G108,0)</x:f>
        <x:v>0</x:v>
      </x:c>
      <x:c r="L108" s="53" t="n">
        <x:f>IF(OR(B108="CONSUMO",B108="SAÍDA"),G108,0)</x:f>
        <x:v>0</x:v>
      </x:c>
      <x:c r="M108" s="53" t="n">
        <x:f>IF(C108="Farinheira",'Regras e Listas'!$D$4,IF(C108="Colorífico",'Regras e Listas'!$D$5,IF(C108="Farinha para o Flotamil",'Regras e Listas'!$D$6,0)))</x:f>
        <x:v>0</x:v>
      </x:c>
      <x:c r="N108" s="53" t="n">
        <x:f>K108*M108</x:f>
        <x:v>0</x:v>
      </x:c>
      <x:c r="O108" s="53" t="n">
        <x:f>L108*M108</x:f>
        <x:v>0</x:v>
      </x:c>
      <x:c r="P108" t="str">
        <x:f>IF(OR(B108="CONSUMO",B108="SAÍDA"),IF(ISNUMBER(SEARCH("não seguiu FIFO",I108)),"NÃO CONFORME",IF(ISNUMBER(SEARCH("FIFO automático",I108)),"CONFORME","VERIFICAR")),"")</x:f>
      </x:c>
    </x:row>
    <x:row r="109">
      <x:c r="A109" s="52"/>
      <x:c r="G109" s="53"/>
      <x:c r="K109" s="53" t="n">
        <x:f>IF(B109="ENTRADA",G109,0)</x:f>
        <x:v>0</x:v>
      </x:c>
      <x:c r="L109" s="53" t="n">
        <x:f>IF(OR(B109="CONSUMO",B109="SAÍDA"),G109,0)</x:f>
        <x:v>0</x:v>
      </x:c>
      <x:c r="M109" s="53" t="n">
        <x:f>IF(C109="Farinheira",'Regras e Listas'!$D$4,IF(C109="Colorífico",'Regras e Listas'!$D$5,IF(C109="Farinha para o Flotamil",'Regras e Listas'!$D$6,0)))</x:f>
        <x:v>0</x:v>
      </x:c>
      <x:c r="N109" s="53" t="n">
        <x:f>K109*M109</x:f>
        <x:v>0</x:v>
      </x:c>
      <x:c r="O109" s="53" t="n">
        <x:f>L109*M109</x:f>
        <x:v>0</x:v>
      </x:c>
      <x:c r="P109" t="str">
        <x:f>IF(OR(B109="CONSUMO",B109="SAÍDA"),IF(ISNUMBER(SEARCH("não seguiu FIFO",I109)),"NÃO CONFORME",IF(ISNUMBER(SEARCH("FIFO automático",I109)),"CONFORME","VERIFICAR")),"")</x:f>
      </x:c>
    </x:row>
    <x:row r="110">
      <x:c r="A110" s="52"/>
      <x:c r="G110" s="53"/>
      <x:c r="K110" s="53" t="n">
        <x:f>IF(B110="ENTRADA",G110,0)</x:f>
        <x:v>0</x:v>
      </x:c>
      <x:c r="L110" s="53" t="n">
        <x:f>IF(OR(B110="CONSUMO",B110="SAÍDA"),G110,0)</x:f>
        <x:v>0</x:v>
      </x:c>
      <x:c r="M110" s="53" t="n">
        <x:f>IF(C110="Farinheira",'Regras e Listas'!$D$4,IF(C110="Colorífico",'Regras e Listas'!$D$5,IF(C110="Farinha para o Flotamil",'Regras e Listas'!$D$6,0)))</x:f>
        <x:v>0</x:v>
      </x:c>
      <x:c r="N110" s="53" t="n">
        <x:f>K110*M110</x:f>
        <x:v>0</x:v>
      </x:c>
      <x:c r="O110" s="53" t="n">
        <x:f>L110*M110</x:f>
        <x:v>0</x:v>
      </x:c>
      <x:c r="P110" t="str">
        <x:f>IF(OR(B110="CONSUMO",B110="SAÍDA"),IF(ISNUMBER(SEARCH("não seguiu FIFO",I110)),"NÃO CONFORME",IF(ISNUMBER(SEARCH("FIFO automático",I110)),"CONFORME","VERIFICAR")),"")</x:f>
      </x:c>
    </x:row>
    <x:row r="111">
      <x:c r="A111" s="52"/>
      <x:c r="G111" s="53"/>
      <x:c r="K111" s="53" t="n">
        <x:f>IF(B111="ENTRADA",G111,0)</x:f>
        <x:v>0</x:v>
      </x:c>
      <x:c r="L111" s="53" t="n">
        <x:f>IF(OR(B111="CONSUMO",B111="SAÍDA"),G111,0)</x:f>
        <x:v>0</x:v>
      </x:c>
      <x:c r="M111" s="53" t="n">
        <x:f>IF(C111="Farinheira",'Regras e Listas'!$D$4,IF(C111="Colorífico",'Regras e Listas'!$D$5,IF(C111="Farinha para o Flotamil",'Regras e Listas'!$D$6,0)))</x:f>
        <x:v>0</x:v>
      </x:c>
      <x:c r="N111" s="53" t="n">
        <x:f>K111*M111</x:f>
        <x:v>0</x:v>
      </x:c>
      <x:c r="O111" s="53" t="n">
        <x:f>L111*M111</x:f>
        <x:v>0</x:v>
      </x:c>
      <x:c r="P111" t="str">
        <x:f>IF(OR(B111="CONSUMO",B111="SAÍDA"),IF(ISNUMBER(SEARCH("não seguiu FIFO",I111)),"NÃO CONFORME",IF(ISNUMBER(SEARCH("FIFO automático",I111)),"CONFORME","VERIFICAR")),"")</x:f>
      </x:c>
    </x:row>
    <x:row r="112">
      <x:c r="A112" s="52"/>
      <x:c r="G112" s="53"/>
      <x:c r="K112" s="53" t="n">
        <x:f>IF(B112="ENTRADA",G112,0)</x:f>
        <x:v>0</x:v>
      </x:c>
      <x:c r="L112" s="53" t="n">
        <x:f>IF(OR(B112="CONSUMO",B112="SAÍDA"),G112,0)</x:f>
        <x:v>0</x:v>
      </x:c>
      <x:c r="M112" s="53" t="n">
        <x:f>IF(C112="Farinheira",'Regras e Listas'!$D$4,IF(C112="Colorífico",'Regras e Listas'!$D$5,IF(C112="Farinha para o Flotamil",'Regras e Listas'!$D$6,0)))</x:f>
        <x:v>0</x:v>
      </x:c>
      <x:c r="N112" s="53" t="n">
        <x:f>K112*M112</x:f>
        <x:v>0</x:v>
      </x:c>
      <x:c r="O112" s="53" t="n">
        <x:f>L112*M112</x:f>
        <x:v>0</x:v>
      </x:c>
      <x:c r="P112" t="str">
        <x:f>IF(OR(B112="CONSUMO",B112="SAÍDA"),IF(ISNUMBER(SEARCH("não seguiu FIFO",I112)),"NÃO CONFORME",IF(ISNUMBER(SEARCH("FIFO automático",I112)),"CONFORME","VERIFICAR")),"")</x:f>
      </x:c>
    </x:row>
    <x:row r="113">
      <x:c r="A113" s="52"/>
      <x:c r="G113" s="53"/>
      <x:c r="K113" s="53" t="n">
        <x:f>IF(B113="ENTRADA",G113,0)</x:f>
        <x:v>0</x:v>
      </x:c>
      <x:c r="L113" s="53" t="n">
        <x:f>IF(OR(B113="CONSUMO",B113="SAÍDA"),G113,0)</x:f>
        <x:v>0</x:v>
      </x:c>
      <x:c r="M113" s="53" t="n">
        <x:f>IF(C113="Farinheira",'Regras e Listas'!$D$4,IF(C113="Colorífico",'Regras e Listas'!$D$5,IF(C113="Farinha para o Flotamil",'Regras e Listas'!$D$6,0)))</x:f>
        <x:v>0</x:v>
      </x:c>
      <x:c r="N113" s="53" t="n">
        <x:f>K113*M113</x:f>
        <x:v>0</x:v>
      </x:c>
      <x:c r="O113" s="53" t="n">
        <x:f>L113*M113</x:f>
        <x:v>0</x:v>
      </x:c>
      <x:c r="P113" t="str">
        <x:f>IF(OR(B113="CONSUMO",B113="SAÍDA"),IF(ISNUMBER(SEARCH("não seguiu FIFO",I113)),"NÃO CONFORME",IF(ISNUMBER(SEARCH("FIFO automático",I113)),"CONFORME","VERIFICAR")),"")</x:f>
      </x:c>
    </x:row>
    <x:row r="114">
      <x:c r="A114" s="52"/>
      <x:c r="G114" s="53"/>
      <x:c r="K114" s="53" t="n">
        <x:f>IF(B114="ENTRADA",G114,0)</x:f>
        <x:v>0</x:v>
      </x:c>
      <x:c r="L114" s="53" t="n">
        <x:f>IF(OR(B114="CONSUMO",B114="SAÍDA"),G114,0)</x:f>
        <x:v>0</x:v>
      </x:c>
      <x:c r="M114" s="53" t="n">
        <x:f>IF(C114="Farinheira",'Regras e Listas'!$D$4,IF(C114="Colorífico",'Regras e Listas'!$D$5,IF(C114="Farinha para o Flotamil",'Regras e Listas'!$D$6,0)))</x:f>
        <x:v>0</x:v>
      </x:c>
      <x:c r="N114" s="53" t="n">
        <x:f>K114*M114</x:f>
        <x:v>0</x:v>
      </x:c>
      <x:c r="O114" s="53" t="n">
        <x:f>L114*M114</x:f>
        <x:v>0</x:v>
      </x:c>
      <x:c r="P114" t="str">
        <x:f>IF(OR(B114="CONSUMO",B114="SAÍDA"),IF(ISNUMBER(SEARCH("não seguiu FIFO",I114)),"NÃO CONFORME",IF(ISNUMBER(SEARCH("FIFO automático",I114)),"CONFORME","VERIFICAR")),"")</x:f>
      </x:c>
    </x:row>
    <x:row r="115">
      <x:c r="A115" s="52"/>
      <x:c r="G115" s="53"/>
      <x:c r="K115" s="53" t="n">
        <x:f>IF(B115="ENTRADA",G115,0)</x:f>
        <x:v>0</x:v>
      </x:c>
      <x:c r="L115" s="53" t="n">
        <x:f>IF(OR(B115="CONSUMO",B115="SAÍDA"),G115,0)</x:f>
        <x:v>0</x:v>
      </x:c>
      <x:c r="M115" s="53" t="n">
        <x:f>IF(C115="Farinheira",'Regras e Listas'!$D$4,IF(C115="Colorífico",'Regras e Listas'!$D$5,IF(C115="Farinha para o Flotamil",'Regras e Listas'!$D$6,0)))</x:f>
        <x:v>0</x:v>
      </x:c>
      <x:c r="N115" s="53" t="n">
        <x:f>K115*M115</x:f>
        <x:v>0</x:v>
      </x:c>
      <x:c r="O115" s="53" t="n">
        <x:f>L115*M115</x:f>
        <x:v>0</x:v>
      </x:c>
      <x:c r="P115" t="str">
        <x:f>IF(OR(B115="CONSUMO",B115="SAÍDA"),IF(ISNUMBER(SEARCH("não seguiu FIFO",I115)),"NÃO CONFORME",IF(ISNUMBER(SEARCH("FIFO automático",I115)),"CONFORME","VERIFICAR")),"")</x:f>
      </x:c>
    </x:row>
    <x:row r="116">
      <x:c r="A116" s="52"/>
      <x:c r="G116" s="53"/>
      <x:c r="K116" s="53" t="n">
        <x:f>IF(B116="ENTRADA",G116,0)</x:f>
        <x:v>0</x:v>
      </x:c>
      <x:c r="L116" s="53" t="n">
        <x:f>IF(OR(B116="CONSUMO",B116="SAÍDA"),G116,0)</x:f>
        <x:v>0</x:v>
      </x:c>
      <x:c r="M116" s="53" t="n">
        <x:f>IF(C116="Farinheira",'Regras e Listas'!$D$4,IF(C116="Colorífico",'Regras e Listas'!$D$5,IF(C116="Farinha para o Flotamil",'Regras e Listas'!$D$6,0)))</x:f>
        <x:v>0</x:v>
      </x:c>
      <x:c r="N116" s="53" t="n">
        <x:f>K116*M116</x:f>
        <x:v>0</x:v>
      </x:c>
      <x:c r="O116" s="53" t="n">
        <x:f>L116*M116</x:f>
        <x:v>0</x:v>
      </x:c>
      <x:c r="P116" t="str">
        <x:f>IF(OR(B116="CONSUMO",B116="SAÍDA"),IF(ISNUMBER(SEARCH("não seguiu FIFO",I116)),"NÃO CONFORME",IF(ISNUMBER(SEARCH("FIFO automático",I116)),"CONFORME","VERIFICAR")),"")</x:f>
      </x:c>
    </x:row>
    <x:row r="117">
      <x:c r="A117" s="52"/>
      <x:c r="G117" s="53"/>
      <x:c r="K117" s="53" t="n">
        <x:f>IF(B117="ENTRADA",G117,0)</x:f>
        <x:v>0</x:v>
      </x:c>
      <x:c r="L117" s="53" t="n">
        <x:f>IF(OR(B117="CONSUMO",B117="SAÍDA"),G117,0)</x:f>
        <x:v>0</x:v>
      </x:c>
      <x:c r="M117" s="53" t="n">
        <x:f>IF(C117="Farinheira",'Regras e Listas'!$D$4,IF(C117="Colorífico",'Regras e Listas'!$D$5,IF(C117="Farinha para o Flotamil",'Regras e Listas'!$D$6,0)))</x:f>
        <x:v>0</x:v>
      </x:c>
      <x:c r="N117" s="53" t="n">
        <x:f>K117*M117</x:f>
        <x:v>0</x:v>
      </x:c>
      <x:c r="O117" s="53" t="n">
        <x:f>L117*M117</x:f>
        <x:v>0</x:v>
      </x:c>
      <x:c r="P117" t="str">
        <x:f>IF(OR(B117="CONSUMO",B117="SAÍDA"),IF(ISNUMBER(SEARCH("não seguiu FIFO",I117)),"NÃO CONFORME",IF(ISNUMBER(SEARCH("FIFO automático",I117)),"CONFORME","VERIFICAR")),"")</x:f>
      </x:c>
    </x:row>
    <x:row r="118">
      <x:c r="A118" s="52"/>
      <x:c r="G118" s="53"/>
      <x:c r="K118" s="53" t="n">
        <x:f>IF(B118="ENTRADA",G118,0)</x:f>
        <x:v>0</x:v>
      </x:c>
      <x:c r="L118" s="53" t="n">
        <x:f>IF(OR(B118="CONSUMO",B118="SAÍDA"),G118,0)</x:f>
        <x:v>0</x:v>
      </x:c>
      <x:c r="M118" s="53" t="n">
        <x:f>IF(C118="Farinheira",'Regras e Listas'!$D$4,IF(C118="Colorífico",'Regras e Listas'!$D$5,IF(C118="Farinha para o Flotamil",'Regras e Listas'!$D$6,0)))</x:f>
        <x:v>0</x:v>
      </x:c>
      <x:c r="N118" s="53" t="n">
        <x:f>K118*M118</x:f>
        <x:v>0</x:v>
      </x:c>
      <x:c r="O118" s="53" t="n">
        <x:f>L118*M118</x:f>
        <x:v>0</x:v>
      </x:c>
      <x:c r="P118" t="str">
        <x:f>IF(OR(B118="CONSUMO",B118="SAÍDA"),IF(ISNUMBER(SEARCH("não seguiu FIFO",I118)),"NÃO CONFORME",IF(ISNUMBER(SEARCH("FIFO automático",I118)),"CONFORME","VERIFICAR")),"")</x:f>
      </x:c>
    </x:row>
    <x:row r="119">
      <x:c r="A119" s="52"/>
      <x:c r="G119" s="53"/>
      <x:c r="K119" s="53" t="n">
        <x:f>IF(B119="ENTRADA",G119,0)</x:f>
        <x:v>0</x:v>
      </x:c>
      <x:c r="L119" s="53" t="n">
        <x:f>IF(OR(B119="CONSUMO",B119="SAÍDA"),G119,0)</x:f>
        <x:v>0</x:v>
      </x:c>
      <x:c r="M119" s="53" t="n">
        <x:f>IF(C119="Farinheira",'Regras e Listas'!$D$4,IF(C119="Colorífico",'Regras e Listas'!$D$5,IF(C119="Farinha para o Flotamil",'Regras e Listas'!$D$6,0)))</x:f>
        <x:v>0</x:v>
      </x:c>
      <x:c r="N119" s="53" t="n">
        <x:f>K119*M119</x:f>
        <x:v>0</x:v>
      </x:c>
      <x:c r="O119" s="53" t="n">
        <x:f>L119*M119</x:f>
        <x:v>0</x:v>
      </x:c>
      <x:c r="P119" t="str">
        <x:f>IF(OR(B119="CONSUMO",B119="SAÍDA"),IF(ISNUMBER(SEARCH("não seguiu FIFO",I119)),"NÃO CONFORME",IF(ISNUMBER(SEARCH("FIFO automático",I119)),"CONFORME","VERIFICAR")),"")</x:f>
      </x:c>
    </x:row>
    <x:row r="120">
      <x:c r="A120" s="52"/>
      <x:c r="G120" s="53"/>
      <x:c r="K120" s="53" t="n">
        <x:f>IF(B120="ENTRADA",G120,0)</x:f>
        <x:v>0</x:v>
      </x:c>
      <x:c r="L120" s="53" t="n">
        <x:f>IF(OR(B120="CONSUMO",B120="SAÍDA"),G120,0)</x:f>
        <x:v>0</x:v>
      </x:c>
      <x:c r="M120" s="53" t="n">
        <x:f>IF(C120="Farinheira",'Regras e Listas'!$D$4,IF(C120="Colorífico",'Regras e Listas'!$D$5,IF(C120="Farinha para o Flotamil",'Regras e Listas'!$D$6,0)))</x:f>
        <x:v>0</x:v>
      </x:c>
      <x:c r="N120" s="53" t="n">
        <x:f>K120*M120</x:f>
        <x:v>0</x:v>
      </x:c>
      <x:c r="O120" s="53" t="n">
        <x:f>L120*M120</x:f>
        <x:v>0</x:v>
      </x:c>
      <x:c r="P120" t="str">
        <x:f>IF(OR(B120="CONSUMO",B120="SAÍDA"),IF(ISNUMBER(SEARCH("não seguiu FIFO",I120)),"NÃO CONFORME",IF(ISNUMBER(SEARCH("FIFO automático",I120)),"CONFORME","VERIFICAR")),"")</x:f>
      </x:c>
    </x:row>
    <x:row r="121">
      <x:c r="A121" s="52"/>
      <x:c r="G121" s="53"/>
      <x:c r="K121" s="53" t="n">
        <x:f>IF(B121="ENTRADA",G121,0)</x:f>
        <x:v>0</x:v>
      </x:c>
      <x:c r="L121" s="53" t="n">
        <x:f>IF(OR(B121="CONSUMO",B121="SAÍDA"),G121,0)</x:f>
        <x:v>0</x:v>
      </x:c>
      <x:c r="M121" s="53" t="n">
        <x:f>IF(C121="Farinheira",'Regras e Listas'!$D$4,IF(C121="Colorífico",'Regras e Listas'!$D$5,IF(C121="Farinha para o Flotamil",'Regras e Listas'!$D$6,0)))</x:f>
        <x:v>0</x:v>
      </x:c>
      <x:c r="N121" s="53" t="n">
        <x:f>K121*M121</x:f>
        <x:v>0</x:v>
      </x:c>
      <x:c r="O121" s="53" t="n">
        <x:f>L121*M121</x:f>
        <x:v>0</x:v>
      </x:c>
      <x:c r="P121" t="str">
        <x:f>IF(OR(B121="CONSUMO",B121="SAÍDA"),IF(ISNUMBER(SEARCH("não seguiu FIFO",I121)),"NÃO CONFORME",IF(ISNUMBER(SEARCH("FIFO automático",I121)),"CONFORME","VERIFICAR")),"")</x:f>
      </x:c>
    </x:row>
    <x:row r="122">
      <x:c r="A122" s="52"/>
      <x:c r="G122" s="53"/>
      <x:c r="K122" s="53" t="n">
        <x:f>IF(B122="ENTRADA",G122,0)</x:f>
        <x:v>0</x:v>
      </x:c>
      <x:c r="L122" s="53" t="n">
        <x:f>IF(OR(B122="CONSUMO",B122="SAÍDA"),G122,0)</x:f>
        <x:v>0</x:v>
      </x:c>
      <x:c r="M122" s="53" t="n">
        <x:f>IF(C122="Farinheira",'Regras e Listas'!$D$4,IF(C122="Colorífico",'Regras e Listas'!$D$5,IF(C122="Farinha para o Flotamil",'Regras e Listas'!$D$6,0)))</x:f>
        <x:v>0</x:v>
      </x:c>
      <x:c r="N122" s="53" t="n">
        <x:f>K122*M122</x:f>
        <x:v>0</x:v>
      </x:c>
      <x:c r="O122" s="53" t="n">
        <x:f>L122*M122</x:f>
        <x:v>0</x:v>
      </x:c>
      <x:c r="P122" t="str">
        <x:f>IF(OR(B122="CONSUMO",B122="SAÍDA"),IF(ISNUMBER(SEARCH("não seguiu FIFO",I122)),"NÃO CONFORME",IF(ISNUMBER(SEARCH("FIFO automático",I122)),"CONFORME","VERIFICAR")),"")</x:f>
      </x:c>
    </x:row>
    <x:row r="123">
      <x:c r="A123" s="52"/>
      <x:c r="G123" s="53"/>
      <x:c r="K123" s="53" t="n">
        <x:f>IF(B123="ENTRADA",G123,0)</x:f>
        <x:v>0</x:v>
      </x:c>
      <x:c r="L123" s="53" t="n">
        <x:f>IF(OR(B123="CONSUMO",B123="SAÍDA"),G123,0)</x:f>
        <x:v>0</x:v>
      </x:c>
      <x:c r="M123" s="53" t="n">
        <x:f>IF(C123="Farinheira",'Regras e Listas'!$D$4,IF(C123="Colorífico",'Regras e Listas'!$D$5,IF(C123="Farinha para o Flotamil",'Regras e Listas'!$D$6,0)))</x:f>
        <x:v>0</x:v>
      </x:c>
      <x:c r="N123" s="53" t="n">
        <x:f>K123*M123</x:f>
        <x:v>0</x:v>
      </x:c>
      <x:c r="O123" s="53" t="n">
        <x:f>L123*M123</x:f>
        <x:v>0</x:v>
      </x:c>
      <x:c r="P123" t="str">
        <x:f>IF(OR(B123="CONSUMO",B123="SAÍDA"),IF(ISNUMBER(SEARCH("não seguiu FIFO",I123)),"NÃO CONFORME",IF(ISNUMBER(SEARCH("FIFO automático",I123)),"CONFORME","VERIFICAR")),"")</x:f>
      </x:c>
    </x:row>
    <x:row r="124">
      <x:c r="A124" s="52"/>
      <x:c r="G124" s="53"/>
      <x:c r="K124" s="53" t="n">
        <x:f>IF(B124="ENTRADA",G124,0)</x:f>
        <x:v>0</x:v>
      </x:c>
      <x:c r="L124" s="53" t="n">
        <x:f>IF(OR(B124="CONSUMO",B124="SAÍDA"),G124,0)</x:f>
        <x:v>0</x:v>
      </x:c>
      <x:c r="M124" s="53" t="n">
        <x:f>IF(C124="Farinheira",'Regras e Listas'!$D$4,IF(C124="Colorífico",'Regras e Listas'!$D$5,IF(C124="Farinha para o Flotamil",'Regras e Listas'!$D$6,0)))</x:f>
        <x:v>0</x:v>
      </x:c>
      <x:c r="N124" s="53" t="n">
        <x:f>K124*M124</x:f>
        <x:v>0</x:v>
      </x:c>
      <x:c r="O124" s="53" t="n">
        <x:f>L124*M124</x:f>
        <x:v>0</x:v>
      </x:c>
      <x:c r="P124" t="str">
        <x:f>IF(OR(B124="CONSUMO",B124="SAÍDA"),IF(ISNUMBER(SEARCH("não seguiu FIFO",I124)),"NÃO CONFORME",IF(ISNUMBER(SEARCH("FIFO automático",I124)),"CONFORME","VERIFICAR")),"")</x:f>
      </x:c>
    </x:row>
    <x:row r="125">
      <x:c r="A125" s="52"/>
      <x:c r="G125" s="53"/>
      <x:c r="K125" s="53" t="n">
        <x:f>IF(B125="ENTRADA",G125,0)</x:f>
        <x:v>0</x:v>
      </x:c>
      <x:c r="L125" s="53" t="n">
        <x:f>IF(OR(B125="CONSUMO",B125="SAÍDA"),G125,0)</x:f>
        <x:v>0</x:v>
      </x:c>
      <x:c r="M125" s="53" t="n">
        <x:f>IF(C125="Farinheira",'Regras e Listas'!$D$4,IF(C125="Colorífico",'Regras e Listas'!$D$5,IF(C125="Farinha para o Flotamil",'Regras e Listas'!$D$6,0)))</x:f>
        <x:v>0</x:v>
      </x:c>
      <x:c r="N125" s="53" t="n">
        <x:f>K125*M125</x:f>
        <x:v>0</x:v>
      </x:c>
      <x:c r="O125" s="53" t="n">
        <x:f>L125*M125</x:f>
        <x:v>0</x:v>
      </x:c>
      <x:c r="P125" t="str">
        <x:f>IF(OR(B125="CONSUMO",B125="SAÍDA"),IF(ISNUMBER(SEARCH("não seguiu FIFO",I125)),"NÃO CONFORME",IF(ISNUMBER(SEARCH("FIFO automático",I125)),"CONFORME","VERIFICAR")),"")</x:f>
      </x:c>
    </x:row>
    <x:row r="126">
      <x:c r="A126" s="52"/>
      <x:c r="G126" s="53"/>
      <x:c r="K126" s="53" t="n">
        <x:f>IF(B126="ENTRADA",G126,0)</x:f>
        <x:v>0</x:v>
      </x:c>
      <x:c r="L126" s="53" t="n">
        <x:f>IF(OR(B126="CONSUMO",B126="SAÍDA"),G126,0)</x:f>
        <x:v>0</x:v>
      </x:c>
      <x:c r="M126" s="53" t="n">
        <x:f>IF(C126="Farinheira",'Regras e Listas'!$D$4,IF(C126="Colorífico",'Regras e Listas'!$D$5,IF(C126="Farinha para o Flotamil",'Regras e Listas'!$D$6,0)))</x:f>
        <x:v>0</x:v>
      </x:c>
      <x:c r="N126" s="53" t="n">
        <x:f>K126*M126</x:f>
        <x:v>0</x:v>
      </x:c>
      <x:c r="O126" s="53" t="n">
        <x:f>L126*M126</x:f>
        <x:v>0</x:v>
      </x:c>
      <x:c r="P126" t="str">
        <x:f>IF(OR(B126="CONSUMO",B126="SAÍDA"),IF(ISNUMBER(SEARCH("não seguiu FIFO",I126)),"NÃO CONFORME",IF(ISNUMBER(SEARCH("FIFO automático",I126)),"CONFORME","VERIFICAR")),"")</x:f>
      </x:c>
    </x:row>
    <x:row r="127">
      <x:c r="A127" s="52"/>
      <x:c r="G127" s="53"/>
      <x:c r="K127" s="53" t="n">
        <x:f>IF(B127="ENTRADA",G127,0)</x:f>
        <x:v>0</x:v>
      </x:c>
      <x:c r="L127" s="53" t="n">
        <x:f>IF(OR(B127="CONSUMO",B127="SAÍDA"),G127,0)</x:f>
        <x:v>0</x:v>
      </x:c>
      <x:c r="M127" s="53" t="n">
        <x:f>IF(C127="Farinheira",'Regras e Listas'!$D$4,IF(C127="Colorífico",'Regras e Listas'!$D$5,IF(C127="Farinha para o Flotamil",'Regras e Listas'!$D$6,0)))</x:f>
        <x:v>0</x:v>
      </x:c>
      <x:c r="N127" s="53" t="n">
        <x:f>K127*M127</x:f>
        <x:v>0</x:v>
      </x:c>
      <x:c r="O127" s="53" t="n">
        <x:f>L127*M127</x:f>
        <x:v>0</x:v>
      </x:c>
      <x:c r="P127" t="str">
        <x:f>IF(OR(B127="CONSUMO",B127="SAÍDA"),IF(ISNUMBER(SEARCH("não seguiu FIFO",I127)),"NÃO CONFORME",IF(ISNUMBER(SEARCH("FIFO automático",I127)),"CONFORME","VERIFICAR")),"")</x:f>
      </x:c>
    </x:row>
    <x:row r="128">
      <x:c r="A128" s="52"/>
      <x:c r="G128" s="53"/>
      <x:c r="K128" s="53" t="n">
        <x:f>IF(B128="ENTRADA",G128,0)</x:f>
        <x:v>0</x:v>
      </x:c>
      <x:c r="L128" s="53" t="n">
        <x:f>IF(OR(B128="CONSUMO",B128="SAÍDA"),G128,0)</x:f>
        <x:v>0</x:v>
      </x:c>
      <x:c r="M128" s="53" t="n">
        <x:f>IF(C128="Farinheira",'Regras e Listas'!$D$4,IF(C128="Colorífico",'Regras e Listas'!$D$5,IF(C128="Farinha para o Flotamil",'Regras e Listas'!$D$6,0)))</x:f>
        <x:v>0</x:v>
      </x:c>
      <x:c r="N128" s="53" t="n">
        <x:f>K128*M128</x:f>
        <x:v>0</x:v>
      </x:c>
      <x:c r="O128" s="53" t="n">
        <x:f>L128*M128</x:f>
        <x:v>0</x:v>
      </x:c>
      <x:c r="P128" t="str">
        <x:f>IF(OR(B128="CONSUMO",B128="SAÍDA"),IF(ISNUMBER(SEARCH("não seguiu FIFO",I128)),"NÃO CONFORME",IF(ISNUMBER(SEARCH("FIFO automático",I128)),"CONFORME","VERIFICAR")),"")</x:f>
      </x:c>
    </x:row>
    <x:row r="129">
      <x:c r="A129" s="52"/>
      <x:c r="G129" s="53"/>
      <x:c r="K129" s="53" t="n">
        <x:f>IF(B129="ENTRADA",G129,0)</x:f>
        <x:v>0</x:v>
      </x:c>
      <x:c r="L129" s="53" t="n">
        <x:f>IF(OR(B129="CONSUMO",B129="SAÍDA"),G129,0)</x:f>
        <x:v>0</x:v>
      </x:c>
      <x:c r="M129" s="53" t="n">
        <x:f>IF(C129="Farinheira",'Regras e Listas'!$D$4,IF(C129="Colorífico",'Regras e Listas'!$D$5,IF(C129="Farinha para o Flotamil",'Regras e Listas'!$D$6,0)))</x:f>
        <x:v>0</x:v>
      </x:c>
      <x:c r="N129" s="53" t="n">
        <x:f>K129*M129</x:f>
        <x:v>0</x:v>
      </x:c>
      <x:c r="O129" s="53" t="n">
        <x:f>L129*M129</x:f>
        <x:v>0</x:v>
      </x:c>
      <x:c r="P129" t="str">
        <x:f>IF(OR(B129="CONSUMO",B129="SAÍDA"),IF(ISNUMBER(SEARCH("não seguiu FIFO",I129)),"NÃO CONFORME",IF(ISNUMBER(SEARCH("FIFO automático",I129)),"CONFORME","VERIFICAR")),"")</x:f>
      </x:c>
    </x:row>
    <x:row r="130">
      <x:c r="A130" s="52"/>
      <x:c r="G130" s="53"/>
      <x:c r="K130" s="53" t="n">
        <x:f>IF(B130="ENTRADA",G130,0)</x:f>
        <x:v>0</x:v>
      </x:c>
      <x:c r="L130" s="53" t="n">
        <x:f>IF(OR(B130="CONSUMO",B130="SAÍDA"),G130,0)</x:f>
        <x:v>0</x:v>
      </x:c>
      <x:c r="M130" s="53" t="n">
        <x:f>IF(C130="Farinheira",'Regras e Listas'!$D$4,IF(C130="Colorífico",'Regras e Listas'!$D$5,IF(C130="Farinha para o Flotamil",'Regras e Listas'!$D$6,0)))</x:f>
        <x:v>0</x:v>
      </x:c>
      <x:c r="N130" s="53" t="n">
        <x:f>K130*M130</x:f>
        <x:v>0</x:v>
      </x:c>
      <x:c r="O130" s="53" t="n">
        <x:f>L130*M130</x:f>
        <x:v>0</x:v>
      </x:c>
      <x:c r="P130" t="str">
        <x:f>IF(OR(B130="CONSUMO",B130="SAÍDA"),IF(ISNUMBER(SEARCH("não seguiu FIFO",I130)),"NÃO CONFORME",IF(ISNUMBER(SEARCH("FIFO automático",I130)),"CONFORME","VERIFICAR")),"")</x:f>
      </x:c>
    </x:row>
    <x:row r="131">
      <x:c r="A131" s="52"/>
      <x:c r="G131" s="53"/>
      <x:c r="K131" s="53" t="n">
        <x:f>IF(B131="ENTRADA",G131,0)</x:f>
        <x:v>0</x:v>
      </x:c>
      <x:c r="L131" s="53" t="n">
        <x:f>IF(OR(B131="CONSUMO",B131="SAÍDA"),G131,0)</x:f>
        <x:v>0</x:v>
      </x:c>
      <x:c r="M131" s="53" t="n">
        <x:f>IF(C131="Farinheira",'Regras e Listas'!$D$4,IF(C131="Colorífico",'Regras e Listas'!$D$5,IF(C131="Farinha para o Flotamil",'Regras e Listas'!$D$6,0)))</x:f>
        <x:v>0</x:v>
      </x:c>
      <x:c r="N131" s="53" t="n">
        <x:f>K131*M131</x:f>
        <x:v>0</x:v>
      </x:c>
      <x:c r="O131" s="53" t="n">
        <x:f>L131*M131</x:f>
        <x:v>0</x:v>
      </x:c>
      <x:c r="P131" t="str">
        <x:f>IF(OR(B131="CONSUMO",B131="SAÍDA"),IF(ISNUMBER(SEARCH("não seguiu FIFO",I131)),"NÃO CONFORME",IF(ISNUMBER(SEARCH("FIFO automático",I131)),"CONFORME","VERIFICAR")),"")</x:f>
      </x:c>
    </x:row>
    <x:row r="132">
      <x:c r="A132" s="52"/>
      <x:c r="G132" s="53"/>
      <x:c r="K132" s="53" t="n">
        <x:f>IF(B132="ENTRADA",G132,0)</x:f>
        <x:v>0</x:v>
      </x:c>
      <x:c r="L132" s="53" t="n">
        <x:f>IF(OR(B132="CONSUMO",B132="SAÍDA"),G132,0)</x:f>
        <x:v>0</x:v>
      </x:c>
      <x:c r="M132" s="53" t="n">
        <x:f>IF(C132="Farinheira",'Regras e Listas'!$D$4,IF(C132="Colorífico",'Regras e Listas'!$D$5,IF(C132="Farinha para o Flotamil",'Regras e Listas'!$D$6,0)))</x:f>
        <x:v>0</x:v>
      </x:c>
      <x:c r="N132" s="53" t="n">
        <x:f>K132*M132</x:f>
        <x:v>0</x:v>
      </x:c>
      <x:c r="O132" s="53" t="n">
        <x:f>L132*M132</x:f>
        <x:v>0</x:v>
      </x:c>
      <x:c r="P132" t="str">
        <x:f>IF(OR(B132="CONSUMO",B132="SAÍDA"),IF(ISNUMBER(SEARCH("não seguiu FIFO",I132)),"NÃO CONFORME",IF(ISNUMBER(SEARCH("FIFO automático",I132)),"CONFORME","VERIFICAR")),"")</x:f>
      </x:c>
    </x:row>
    <x:row r="133">
      <x:c r="A133" s="52"/>
      <x:c r="G133" s="53"/>
      <x:c r="K133" s="53" t="n">
        <x:f>IF(B133="ENTRADA",G133,0)</x:f>
        <x:v>0</x:v>
      </x:c>
      <x:c r="L133" s="53" t="n">
        <x:f>IF(OR(B133="CONSUMO",B133="SAÍDA"),G133,0)</x:f>
        <x:v>0</x:v>
      </x:c>
      <x:c r="M133" s="53" t="n">
        <x:f>IF(C133="Farinheira",'Regras e Listas'!$D$4,IF(C133="Colorífico",'Regras e Listas'!$D$5,IF(C133="Farinha para o Flotamil",'Regras e Listas'!$D$6,0)))</x:f>
        <x:v>0</x:v>
      </x:c>
      <x:c r="N133" s="53" t="n">
        <x:f>K133*M133</x:f>
        <x:v>0</x:v>
      </x:c>
      <x:c r="O133" s="53" t="n">
        <x:f>L133*M133</x:f>
        <x:v>0</x:v>
      </x:c>
      <x:c r="P133" t="str">
        <x:f>IF(OR(B133="CONSUMO",B133="SAÍDA"),IF(ISNUMBER(SEARCH("não seguiu FIFO",I133)),"NÃO CONFORME",IF(ISNUMBER(SEARCH("FIFO automático",I133)),"CONFORME","VERIFICAR")),"")</x:f>
      </x:c>
    </x:row>
    <x:row r="134">
      <x:c r="A134" s="52"/>
      <x:c r="G134" s="53"/>
      <x:c r="K134" s="53" t="n">
        <x:f>IF(B134="ENTRADA",G134,0)</x:f>
        <x:v>0</x:v>
      </x:c>
      <x:c r="L134" s="53" t="n">
        <x:f>IF(OR(B134="CONSUMO",B134="SAÍDA"),G134,0)</x:f>
        <x:v>0</x:v>
      </x:c>
      <x:c r="M134" s="53" t="n">
        <x:f>IF(C134="Farinheira",'Regras e Listas'!$D$4,IF(C134="Colorífico",'Regras e Listas'!$D$5,IF(C134="Farinha para o Flotamil",'Regras e Listas'!$D$6,0)))</x:f>
        <x:v>0</x:v>
      </x:c>
      <x:c r="N134" s="53" t="n">
        <x:f>K134*M134</x:f>
        <x:v>0</x:v>
      </x:c>
      <x:c r="O134" s="53" t="n">
        <x:f>L134*M134</x:f>
        <x:v>0</x:v>
      </x:c>
      <x:c r="P134" t="str">
        <x:f>IF(OR(B134="CONSUMO",B134="SAÍDA"),IF(ISNUMBER(SEARCH("não seguiu FIFO",I134)),"NÃO CONFORME",IF(ISNUMBER(SEARCH("FIFO automático",I134)),"CONFORME","VERIFICAR")),"")</x:f>
      </x:c>
    </x:row>
    <x:row r="135">
      <x:c r="A135" s="52"/>
      <x:c r="G135" s="53"/>
      <x:c r="K135" s="53" t="n">
        <x:f>IF(B135="ENTRADA",G135,0)</x:f>
        <x:v>0</x:v>
      </x:c>
      <x:c r="L135" s="53" t="n">
        <x:f>IF(OR(B135="CONSUMO",B135="SAÍDA"),G135,0)</x:f>
        <x:v>0</x:v>
      </x:c>
      <x:c r="M135" s="53" t="n">
        <x:f>IF(C135="Farinheira",'Regras e Listas'!$D$4,IF(C135="Colorífico",'Regras e Listas'!$D$5,IF(C135="Farinha para o Flotamil",'Regras e Listas'!$D$6,0)))</x:f>
        <x:v>0</x:v>
      </x:c>
      <x:c r="N135" s="53" t="n">
        <x:f>K135*M135</x:f>
        <x:v>0</x:v>
      </x:c>
      <x:c r="O135" s="53" t="n">
        <x:f>L135*M135</x:f>
        <x:v>0</x:v>
      </x:c>
      <x:c r="P135" t="str">
        <x:f>IF(OR(B135="CONSUMO",B135="SAÍDA"),IF(ISNUMBER(SEARCH("não seguiu FIFO",I135)),"NÃO CONFORME",IF(ISNUMBER(SEARCH("FIFO automático",I135)),"CONFORME","VERIFICAR")),"")</x:f>
      </x:c>
    </x:row>
    <x:row r="136">
      <x:c r="A136" s="52"/>
      <x:c r="G136" s="53"/>
      <x:c r="K136" s="53" t="n">
        <x:f>IF(B136="ENTRADA",G136,0)</x:f>
        <x:v>0</x:v>
      </x:c>
      <x:c r="L136" s="53" t="n">
        <x:f>IF(OR(B136="CONSUMO",B136="SAÍDA"),G136,0)</x:f>
        <x:v>0</x:v>
      </x:c>
      <x:c r="M136" s="53" t="n">
        <x:f>IF(C136="Farinheira",'Regras e Listas'!$D$4,IF(C136="Colorífico",'Regras e Listas'!$D$5,IF(C136="Farinha para o Flotamil",'Regras e Listas'!$D$6,0)))</x:f>
        <x:v>0</x:v>
      </x:c>
      <x:c r="N136" s="53" t="n">
        <x:f>K136*M136</x:f>
        <x:v>0</x:v>
      </x:c>
      <x:c r="O136" s="53" t="n">
        <x:f>L136*M136</x:f>
        <x:v>0</x:v>
      </x:c>
      <x:c r="P136" t="str">
        <x:f>IF(OR(B136="CONSUMO",B136="SAÍDA"),IF(ISNUMBER(SEARCH("não seguiu FIFO",I136)),"NÃO CONFORME",IF(ISNUMBER(SEARCH("FIFO automático",I136)),"CONFORME","VERIFICAR")),"")</x:f>
      </x:c>
    </x:row>
    <x:row r="137">
      <x:c r="A137" s="52"/>
      <x:c r="G137" s="53"/>
      <x:c r="K137" s="53" t="n">
        <x:f>IF(B137="ENTRADA",G137,0)</x:f>
        <x:v>0</x:v>
      </x:c>
      <x:c r="L137" s="53" t="n">
        <x:f>IF(OR(B137="CONSUMO",B137="SAÍDA"),G137,0)</x:f>
        <x:v>0</x:v>
      </x:c>
      <x:c r="M137" s="53" t="n">
        <x:f>IF(C137="Farinheira",'Regras e Listas'!$D$4,IF(C137="Colorífico",'Regras e Listas'!$D$5,IF(C137="Farinha para o Flotamil",'Regras e Listas'!$D$6,0)))</x:f>
        <x:v>0</x:v>
      </x:c>
      <x:c r="N137" s="53" t="n">
        <x:f>K137*M137</x:f>
        <x:v>0</x:v>
      </x:c>
      <x:c r="O137" s="53" t="n">
        <x:f>L137*M137</x:f>
        <x:v>0</x:v>
      </x:c>
      <x:c r="P137" t="str">
        <x:f>IF(OR(B137="CONSUMO",B137="SAÍDA"),IF(ISNUMBER(SEARCH("não seguiu FIFO",I137)),"NÃO CONFORME",IF(ISNUMBER(SEARCH("FIFO automático",I137)),"CONFORME","VERIFICAR")),"")</x:f>
      </x:c>
    </x:row>
    <x:row r="138">
      <x:c r="A138" s="52"/>
      <x:c r="G138" s="53"/>
      <x:c r="K138" s="53" t="n">
        <x:f>IF(B138="ENTRADA",G138,0)</x:f>
        <x:v>0</x:v>
      </x:c>
      <x:c r="L138" s="53" t="n">
        <x:f>IF(OR(B138="CONSUMO",B138="SAÍDA"),G138,0)</x:f>
        <x:v>0</x:v>
      </x:c>
      <x:c r="M138" s="53" t="n">
        <x:f>IF(C138="Farinheira",'Regras e Listas'!$D$4,IF(C138="Colorífico",'Regras e Listas'!$D$5,IF(C138="Farinha para o Flotamil",'Regras e Listas'!$D$6,0)))</x:f>
        <x:v>0</x:v>
      </x:c>
      <x:c r="N138" s="53" t="n">
        <x:f>K138*M138</x:f>
        <x:v>0</x:v>
      </x:c>
      <x:c r="O138" s="53" t="n">
        <x:f>L138*M138</x:f>
        <x:v>0</x:v>
      </x:c>
      <x:c r="P138" t="str">
        <x:f>IF(OR(B138="CONSUMO",B138="SAÍDA"),IF(ISNUMBER(SEARCH("não seguiu FIFO",I138)),"NÃO CONFORME",IF(ISNUMBER(SEARCH("FIFO automático",I138)),"CONFORME","VERIFICAR")),"")</x:f>
      </x:c>
    </x:row>
    <x:row r="139">
      <x:c r="A139" s="52"/>
      <x:c r="G139" s="53"/>
      <x:c r="K139" s="53" t="n">
        <x:f>IF(B139="ENTRADA",G139,0)</x:f>
        <x:v>0</x:v>
      </x:c>
      <x:c r="L139" s="53" t="n">
        <x:f>IF(OR(B139="CONSUMO",B139="SAÍDA"),G139,0)</x:f>
        <x:v>0</x:v>
      </x:c>
      <x:c r="M139" s="53" t="n">
        <x:f>IF(C139="Farinheira",'Regras e Listas'!$D$4,IF(C139="Colorífico",'Regras e Listas'!$D$5,IF(C139="Farinha para o Flotamil",'Regras e Listas'!$D$6,0)))</x:f>
        <x:v>0</x:v>
      </x:c>
      <x:c r="N139" s="53" t="n">
        <x:f>K139*M139</x:f>
        <x:v>0</x:v>
      </x:c>
      <x:c r="O139" s="53" t="n">
        <x:f>L139*M139</x:f>
        <x:v>0</x:v>
      </x:c>
      <x:c r="P139" t="str">
        <x:f>IF(OR(B139="CONSUMO",B139="SAÍDA"),IF(ISNUMBER(SEARCH("não seguiu FIFO",I139)),"NÃO CONFORME",IF(ISNUMBER(SEARCH("FIFO automático",I139)),"CONFORME","VERIFICAR")),"")</x:f>
      </x:c>
    </x:row>
    <x:row r="140">
      <x:c r="A140" s="52"/>
      <x:c r="G140" s="53"/>
      <x:c r="K140" s="53" t="n">
        <x:f>IF(B140="ENTRADA",G140,0)</x:f>
        <x:v>0</x:v>
      </x:c>
      <x:c r="L140" s="53" t="n">
        <x:f>IF(OR(B140="CONSUMO",B140="SAÍDA"),G140,0)</x:f>
        <x:v>0</x:v>
      </x:c>
      <x:c r="M140" s="53" t="n">
        <x:f>IF(C140="Farinheira",'Regras e Listas'!$D$4,IF(C140="Colorífico",'Regras e Listas'!$D$5,IF(C140="Farinha para o Flotamil",'Regras e Listas'!$D$6,0)))</x:f>
        <x:v>0</x:v>
      </x:c>
      <x:c r="N140" s="53" t="n">
        <x:f>K140*M140</x:f>
        <x:v>0</x:v>
      </x:c>
      <x:c r="O140" s="53" t="n">
        <x:f>L140*M140</x:f>
        <x:v>0</x:v>
      </x:c>
      <x:c r="P140" t="str">
        <x:f>IF(OR(B140="CONSUMO",B140="SAÍDA"),IF(ISNUMBER(SEARCH("não seguiu FIFO",I140)),"NÃO CONFORME",IF(ISNUMBER(SEARCH("FIFO automático",I140)),"CONFORME","VERIFICAR")),"")</x:f>
      </x:c>
    </x:row>
    <x:row r="141">
      <x:c r="A141" s="52"/>
      <x:c r="G141" s="53"/>
      <x:c r="K141" s="53" t="n">
        <x:f>IF(B141="ENTRADA",G141,0)</x:f>
        <x:v>0</x:v>
      </x:c>
      <x:c r="L141" s="53" t="n">
        <x:f>IF(OR(B141="CONSUMO",B141="SAÍDA"),G141,0)</x:f>
        <x:v>0</x:v>
      </x:c>
      <x:c r="M141" s="53" t="n">
        <x:f>IF(C141="Farinheira",'Regras e Listas'!$D$4,IF(C141="Colorífico",'Regras e Listas'!$D$5,IF(C141="Farinha para o Flotamil",'Regras e Listas'!$D$6,0)))</x:f>
        <x:v>0</x:v>
      </x:c>
      <x:c r="N141" s="53" t="n">
        <x:f>K141*M141</x:f>
        <x:v>0</x:v>
      </x:c>
      <x:c r="O141" s="53" t="n">
        <x:f>L141*M141</x:f>
        <x:v>0</x:v>
      </x:c>
      <x:c r="P141" t="str">
        <x:f>IF(OR(B141="CONSUMO",B141="SAÍDA"),IF(ISNUMBER(SEARCH("não seguiu FIFO",I141)),"NÃO CONFORME",IF(ISNUMBER(SEARCH("FIFO automático",I141)),"CONFORME","VERIFICAR")),"")</x:f>
      </x:c>
    </x:row>
    <x:row r="142">
      <x:c r="A142" s="52"/>
      <x:c r="G142" s="53"/>
      <x:c r="K142" s="53" t="n">
        <x:f>IF(B142="ENTRADA",G142,0)</x:f>
        <x:v>0</x:v>
      </x:c>
      <x:c r="L142" s="53" t="n">
        <x:f>IF(OR(B142="CONSUMO",B142="SAÍDA"),G142,0)</x:f>
        <x:v>0</x:v>
      </x:c>
      <x:c r="M142" s="53" t="n">
        <x:f>IF(C142="Farinheira",'Regras e Listas'!$D$4,IF(C142="Colorífico",'Regras e Listas'!$D$5,IF(C142="Farinha para o Flotamil",'Regras e Listas'!$D$6,0)))</x:f>
        <x:v>0</x:v>
      </x:c>
      <x:c r="N142" s="53" t="n">
        <x:f>K142*M142</x:f>
        <x:v>0</x:v>
      </x:c>
      <x:c r="O142" s="53" t="n">
        <x:f>L142*M142</x:f>
        <x:v>0</x:v>
      </x:c>
      <x:c r="P142" t="str">
        <x:f>IF(OR(B142="CONSUMO",B142="SAÍDA"),IF(ISNUMBER(SEARCH("não seguiu FIFO",I142)),"NÃO CONFORME",IF(ISNUMBER(SEARCH("FIFO automático",I142)),"CONFORME","VERIFICAR")),"")</x:f>
      </x:c>
    </x:row>
    <x:row r="143">
      <x:c r="A143" s="52"/>
      <x:c r="G143" s="53"/>
      <x:c r="K143" s="53" t="n">
        <x:f>IF(B143="ENTRADA",G143,0)</x:f>
        <x:v>0</x:v>
      </x:c>
      <x:c r="L143" s="53" t="n">
        <x:f>IF(OR(B143="CONSUMO",B143="SAÍDA"),G143,0)</x:f>
        <x:v>0</x:v>
      </x:c>
      <x:c r="M143" s="53" t="n">
        <x:f>IF(C143="Farinheira",'Regras e Listas'!$D$4,IF(C143="Colorífico",'Regras e Listas'!$D$5,IF(C143="Farinha para o Flotamil",'Regras e Listas'!$D$6,0)))</x:f>
        <x:v>0</x:v>
      </x:c>
      <x:c r="N143" s="53" t="n">
        <x:f>K143*M143</x:f>
        <x:v>0</x:v>
      </x:c>
      <x:c r="O143" s="53" t="n">
        <x:f>L143*M143</x:f>
        <x:v>0</x:v>
      </x:c>
      <x:c r="P143" t="str">
        <x:f>IF(OR(B143="CONSUMO",B143="SAÍDA"),IF(ISNUMBER(SEARCH("não seguiu FIFO",I143)),"NÃO CONFORME",IF(ISNUMBER(SEARCH("FIFO automático",I143)),"CONFORME","VERIFICAR")),"")</x:f>
      </x:c>
    </x:row>
    <x:row r="144">
      <x:c r="A144" s="52"/>
      <x:c r="G144" s="53"/>
      <x:c r="K144" s="53" t="n">
        <x:f>IF(B144="ENTRADA",G144,0)</x:f>
        <x:v>0</x:v>
      </x:c>
      <x:c r="L144" s="53" t="n">
        <x:f>IF(OR(B144="CONSUMO",B144="SAÍDA"),G144,0)</x:f>
        <x:v>0</x:v>
      </x:c>
      <x:c r="M144" s="53" t="n">
        <x:f>IF(C144="Farinheira",'Regras e Listas'!$D$4,IF(C144="Colorífico",'Regras e Listas'!$D$5,IF(C144="Farinha para o Flotamil",'Regras e Listas'!$D$6,0)))</x:f>
        <x:v>0</x:v>
      </x:c>
      <x:c r="N144" s="53" t="n">
        <x:f>K144*M144</x:f>
        <x:v>0</x:v>
      </x:c>
      <x:c r="O144" s="53" t="n">
        <x:f>L144*M144</x:f>
        <x:v>0</x:v>
      </x:c>
      <x:c r="P144" t="str">
        <x:f>IF(OR(B144="CONSUMO",B144="SAÍDA"),IF(ISNUMBER(SEARCH("não seguiu FIFO",I144)),"NÃO CONFORME",IF(ISNUMBER(SEARCH("FIFO automático",I144)),"CONFORME","VERIFICAR")),"")</x:f>
      </x:c>
    </x:row>
    <x:row r="145">
      <x:c r="A145" s="52"/>
      <x:c r="G145" s="53"/>
      <x:c r="K145" s="53" t="n">
        <x:f>IF(B145="ENTRADA",G145,0)</x:f>
        <x:v>0</x:v>
      </x:c>
      <x:c r="L145" s="53" t="n">
        <x:f>IF(OR(B145="CONSUMO",B145="SAÍDA"),G145,0)</x:f>
        <x:v>0</x:v>
      </x:c>
      <x:c r="M145" s="53" t="n">
        <x:f>IF(C145="Farinheira",'Regras e Listas'!$D$4,IF(C145="Colorífico",'Regras e Listas'!$D$5,IF(C145="Farinha para o Flotamil",'Regras e Listas'!$D$6,0)))</x:f>
        <x:v>0</x:v>
      </x:c>
      <x:c r="N145" s="53" t="n">
        <x:f>K145*M145</x:f>
        <x:v>0</x:v>
      </x:c>
      <x:c r="O145" s="53" t="n">
        <x:f>L145*M145</x:f>
        <x:v>0</x:v>
      </x:c>
      <x:c r="P145" t="str">
        <x:f>IF(OR(B145="CONSUMO",B145="SAÍDA"),IF(ISNUMBER(SEARCH("não seguiu FIFO",I145)),"NÃO CONFORME",IF(ISNUMBER(SEARCH("FIFO automático",I145)),"CONFORME","VERIFICAR")),"")</x:f>
      </x:c>
    </x:row>
    <x:row r="146">
      <x:c r="A146" s="52"/>
      <x:c r="G146" s="53"/>
      <x:c r="K146" s="53" t="n">
        <x:f>IF(B146="ENTRADA",G146,0)</x:f>
        <x:v>0</x:v>
      </x:c>
      <x:c r="L146" s="53" t="n">
        <x:f>IF(OR(B146="CONSUMO",B146="SAÍDA"),G146,0)</x:f>
        <x:v>0</x:v>
      </x:c>
      <x:c r="M146" s="53" t="n">
        <x:f>IF(C146="Farinheira",'Regras e Listas'!$D$4,IF(C146="Colorífico",'Regras e Listas'!$D$5,IF(C146="Farinha para o Flotamil",'Regras e Listas'!$D$6,0)))</x:f>
        <x:v>0</x:v>
      </x:c>
      <x:c r="N146" s="53" t="n">
        <x:f>K146*M146</x:f>
        <x:v>0</x:v>
      </x:c>
      <x:c r="O146" s="53" t="n">
        <x:f>L146*M146</x:f>
        <x:v>0</x:v>
      </x:c>
      <x:c r="P146" t="str">
        <x:f>IF(OR(B146="CONSUMO",B146="SAÍDA"),IF(ISNUMBER(SEARCH("não seguiu FIFO",I146)),"NÃO CONFORME",IF(ISNUMBER(SEARCH("FIFO automático",I146)),"CONFORME","VERIFICAR")),"")</x:f>
      </x:c>
    </x:row>
    <x:row r="147">
      <x:c r="A147" s="52"/>
      <x:c r="G147" s="53"/>
      <x:c r="K147" s="53" t="n">
        <x:f>IF(B147="ENTRADA",G147,0)</x:f>
        <x:v>0</x:v>
      </x:c>
      <x:c r="L147" s="53" t="n">
        <x:f>IF(OR(B147="CONSUMO",B147="SAÍDA"),G147,0)</x:f>
        <x:v>0</x:v>
      </x:c>
      <x:c r="M147" s="53" t="n">
        <x:f>IF(C147="Farinheira",'Regras e Listas'!$D$4,IF(C147="Colorífico",'Regras e Listas'!$D$5,IF(C147="Farinha para o Flotamil",'Regras e Listas'!$D$6,0)))</x:f>
        <x:v>0</x:v>
      </x:c>
      <x:c r="N147" s="53" t="n">
        <x:f>K147*M147</x:f>
        <x:v>0</x:v>
      </x:c>
      <x:c r="O147" s="53" t="n">
        <x:f>L147*M147</x:f>
        <x:v>0</x:v>
      </x:c>
      <x:c r="P147" t="str">
        <x:f>IF(OR(B147="CONSUMO",B147="SAÍDA"),IF(ISNUMBER(SEARCH("não seguiu FIFO",I147)),"NÃO CONFORME",IF(ISNUMBER(SEARCH("FIFO automático",I147)),"CONFORME","VERIFICAR")),"")</x:f>
      </x:c>
    </x:row>
    <x:row r="148">
      <x:c r="A148" s="52"/>
      <x:c r="G148" s="53"/>
      <x:c r="K148" s="53" t="n">
        <x:f>IF(B148="ENTRADA",G148,0)</x:f>
        <x:v>0</x:v>
      </x:c>
      <x:c r="L148" s="53" t="n">
        <x:f>IF(OR(B148="CONSUMO",B148="SAÍDA"),G148,0)</x:f>
        <x:v>0</x:v>
      </x:c>
      <x:c r="M148" s="53" t="n">
        <x:f>IF(C148="Farinheira",'Regras e Listas'!$D$4,IF(C148="Colorífico",'Regras e Listas'!$D$5,IF(C148="Farinha para o Flotamil",'Regras e Listas'!$D$6,0)))</x:f>
        <x:v>0</x:v>
      </x:c>
      <x:c r="N148" s="53" t="n">
        <x:f>K148*M148</x:f>
        <x:v>0</x:v>
      </x:c>
      <x:c r="O148" s="53" t="n">
        <x:f>L148*M148</x:f>
        <x:v>0</x:v>
      </x:c>
      <x:c r="P148" t="str">
        <x:f>IF(OR(B148="CONSUMO",B148="SAÍDA"),IF(ISNUMBER(SEARCH("não seguiu FIFO",I148)),"NÃO CONFORME",IF(ISNUMBER(SEARCH("FIFO automático",I148)),"CONFORME","VERIFICAR")),"")</x:f>
      </x:c>
    </x:row>
    <x:row r="149">
      <x:c r="A149" s="52"/>
      <x:c r="G149" s="53"/>
      <x:c r="K149" s="53" t="n">
        <x:f>IF(B149="ENTRADA",G149,0)</x:f>
        <x:v>0</x:v>
      </x:c>
      <x:c r="L149" s="53" t="n">
        <x:f>IF(OR(B149="CONSUMO",B149="SAÍDA"),G149,0)</x:f>
        <x:v>0</x:v>
      </x:c>
      <x:c r="M149" s="53" t="n">
        <x:f>IF(C149="Farinheira",'Regras e Listas'!$D$4,IF(C149="Colorífico",'Regras e Listas'!$D$5,IF(C149="Farinha para o Flotamil",'Regras e Listas'!$D$6,0)))</x:f>
        <x:v>0</x:v>
      </x:c>
      <x:c r="N149" s="53" t="n">
        <x:f>K149*M149</x:f>
        <x:v>0</x:v>
      </x:c>
      <x:c r="O149" s="53" t="n">
        <x:f>L149*M149</x:f>
        <x:v>0</x:v>
      </x:c>
      <x:c r="P149" t="str">
        <x:f>IF(OR(B149="CONSUMO",B149="SAÍDA"),IF(ISNUMBER(SEARCH("não seguiu FIFO",I149)),"NÃO CONFORME",IF(ISNUMBER(SEARCH("FIFO automático",I149)),"CONFORME","VERIFICAR")),"")</x:f>
      </x:c>
    </x:row>
    <x:row r="150">
      <x:c r="A150" s="52"/>
      <x:c r="G150" s="53"/>
      <x:c r="K150" s="53" t="n">
        <x:f>IF(B150="ENTRADA",G150,0)</x:f>
        <x:v>0</x:v>
      </x:c>
      <x:c r="L150" s="53" t="n">
        <x:f>IF(OR(B150="CONSUMO",B150="SAÍDA"),G150,0)</x:f>
        <x:v>0</x:v>
      </x:c>
      <x:c r="M150" s="53" t="n">
        <x:f>IF(C150="Farinheira",'Regras e Listas'!$D$4,IF(C150="Colorífico",'Regras e Listas'!$D$5,IF(C150="Farinha para o Flotamil",'Regras e Listas'!$D$6,0)))</x:f>
        <x:v>0</x:v>
      </x:c>
      <x:c r="N150" s="53" t="n">
        <x:f>K150*M150</x:f>
        <x:v>0</x:v>
      </x:c>
      <x:c r="O150" s="53" t="n">
        <x:f>L150*M150</x:f>
        <x:v>0</x:v>
      </x:c>
      <x:c r="P150" t="str">
        <x:f>IF(OR(B150="CONSUMO",B150="SAÍDA"),IF(ISNUMBER(SEARCH("não seguiu FIFO",I150)),"NÃO CONFORME",IF(ISNUMBER(SEARCH("FIFO automático",I150)),"CONFORME","VERIFICAR")),"")</x:f>
      </x:c>
    </x:row>
    <x:row r="151">
      <x:c r="A151" s="52"/>
      <x:c r="G151" s="53"/>
      <x:c r="K151" s="53" t="n">
        <x:f>IF(B151="ENTRADA",G151,0)</x:f>
        <x:v>0</x:v>
      </x:c>
      <x:c r="L151" s="53" t="n">
        <x:f>IF(OR(B151="CONSUMO",B151="SAÍDA"),G151,0)</x:f>
        <x:v>0</x:v>
      </x:c>
      <x:c r="M151" s="53" t="n">
        <x:f>IF(C151="Farinheira",'Regras e Listas'!$D$4,IF(C151="Colorífico",'Regras e Listas'!$D$5,IF(C151="Farinha para o Flotamil",'Regras e Listas'!$D$6,0)))</x:f>
        <x:v>0</x:v>
      </x:c>
      <x:c r="N151" s="53" t="n">
        <x:f>K151*M151</x:f>
        <x:v>0</x:v>
      </x:c>
      <x:c r="O151" s="53" t="n">
        <x:f>L151*M151</x:f>
        <x:v>0</x:v>
      </x:c>
      <x:c r="P151" t="str">
        <x:f>IF(OR(B151="CONSUMO",B151="SAÍDA"),IF(ISNUMBER(SEARCH("não seguiu FIFO",I151)),"NÃO CONFORME",IF(ISNUMBER(SEARCH("FIFO automático",I151)),"CONFORME","VERIFICAR")),"")</x:f>
      </x:c>
    </x:row>
    <x:row r="152">
      <x:c r="A152" s="52"/>
      <x:c r="G152" s="53"/>
      <x:c r="K152" s="53" t="n">
        <x:f>IF(B152="ENTRADA",G152,0)</x:f>
        <x:v>0</x:v>
      </x:c>
      <x:c r="L152" s="53" t="n">
        <x:f>IF(OR(B152="CONSUMO",B152="SAÍDA"),G152,0)</x:f>
        <x:v>0</x:v>
      </x:c>
      <x:c r="M152" s="53" t="n">
        <x:f>IF(C152="Farinheira",'Regras e Listas'!$D$4,IF(C152="Colorífico",'Regras e Listas'!$D$5,IF(C152="Farinha para o Flotamil",'Regras e Listas'!$D$6,0)))</x:f>
        <x:v>0</x:v>
      </x:c>
      <x:c r="N152" s="53" t="n">
        <x:f>K152*M152</x:f>
        <x:v>0</x:v>
      </x:c>
      <x:c r="O152" s="53" t="n">
        <x:f>L152*M152</x:f>
        <x:v>0</x:v>
      </x:c>
      <x:c r="P152" t="str">
        <x:f>IF(OR(B152="CONSUMO",B152="SAÍDA"),IF(ISNUMBER(SEARCH("não seguiu FIFO",I152)),"NÃO CONFORME",IF(ISNUMBER(SEARCH("FIFO automático",I152)),"CONFORME","VERIFICAR")),"")</x:f>
      </x:c>
    </x:row>
    <x:row r="153">
      <x:c r="A153" s="52"/>
      <x:c r="G153" s="53"/>
      <x:c r="K153" s="53" t="n">
        <x:f>IF(B153="ENTRADA",G153,0)</x:f>
        <x:v>0</x:v>
      </x:c>
      <x:c r="L153" s="53" t="n">
        <x:f>IF(OR(B153="CONSUMO",B153="SAÍDA"),G153,0)</x:f>
        <x:v>0</x:v>
      </x:c>
      <x:c r="M153" s="53" t="n">
        <x:f>IF(C153="Farinheira",'Regras e Listas'!$D$4,IF(C153="Colorífico",'Regras e Listas'!$D$5,IF(C153="Farinha para o Flotamil",'Regras e Listas'!$D$6,0)))</x:f>
        <x:v>0</x:v>
      </x:c>
      <x:c r="N153" s="53" t="n">
        <x:f>K153*M153</x:f>
        <x:v>0</x:v>
      </x:c>
      <x:c r="O153" s="53" t="n">
        <x:f>L153*M153</x:f>
        <x:v>0</x:v>
      </x:c>
      <x:c r="P153" t="str">
        <x:f>IF(OR(B153="CONSUMO",B153="SAÍDA"),IF(ISNUMBER(SEARCH("não seguiu FIFO",I153)),"NÃO CONFORME",IF(ISNUMBER(SEARCH("FIFO automático",I153)),"CONFORME","VERIFICAR")),"")</x:f>
      </x:c>
    </x:row>
    <x:row r="154">
      <x:c r="A154" s="52"/>
      <x:c r="G154" s="53"/>
      <x:c r="K154" s="53" t="n">
        <x:f>IF(B154="ENTRADA",G154,0)</x:f>
        <x:v>0</x:v>
      </x:c>
      <x:c r="L154" s="53" t="n">
        <x:f>IF(OR(B154="CONSUMO",B154="SAÍDA"),G154,0)</x:f>
        <x:v>0</x:v>
      </x:c>
      <x:c r="M154" s="53" t="n">
        <x:f>IF(C154="Farinheira",'Regras e Listas'!$D$4,IF(C154="Colorífico",'Regras e Listas'!$D$5,IF(C154="Farinha para o Flotamil",'Regras e Listas'!$D$6,0)))</x:f>
        <x:v>0</x:v>
      </x:c>
      <x:c r="N154" s="53" t="n">
        <x:f>K154*M154</x:f>
        <x:v>0</x:v>
      </x:c>
      <x:c r="O154" s="53" t="n">
        <x:f>L154*M154</x:f>
        <x:v>0</x:v>
      </x:c>
      <x:c r="P154" t="str">
        <x:f>IF(OR(B154="CONSUMO",B154="SAÍDA"),IF(ISNUMBER(SEARCH("não seguiu FIFO",I154)),"NÃO CONFORME",IF(ISNUMBER(SEARCH("FIFO automático",I154)),"CONFORME","VERIFICAR")),"")</x:f>
      </x:c>
    </x:row>
    <x:row r="155">
      <x:c r="A155" s="52"/>
      <x:c r="G155" s="53"/>
      <x:c r="K155" s="53" t="n">
        <x:f>IF(B155="ENTRADA",G155,0)</x:f>
        <x:v>0</x:v>
      </x:c>
      <x:c r="L155" s="53" t="n">
        <x:f>IF(OR(B155="CONSUMO",B155="SAÍDA"),G155,0)</x:f>
        <x:v>0</x:v>
      </x:c>
      <x:c r="M155" s="53" t="n">
        <x:f>IF(C155="Farinheira",'Regras e Listas'!$D$4,IF(C155="Colorífico",'Regras e Listas'!$D$5,IF(C155="Farinha para o Flotamil",'Regras e Listas'!$D$6,0)))</x:f>
        <x:v>0</x:v>
      </x:c>
      <x:c r="N155" s="53" t="n">
        <x:f>K155*M155</x:f>
        <x:v>0</x:v>
      </x:c>
      <x:c r="O155" s="53" t="n">
        <x:f>L155*M155</x:f>
        <x:v>0</x:v>
      </x:c>
      <x:c r="P155" t="str">
        <x:f>IF(OR(B155="CONSUMO",B155="SAÍDA"),IF(ISNUMBER(SEARCH("não seguiu FIFO",I155)),"NÃO CONFORME",IF(ISNUMBER(SEARCH("FIFO automático",I155)),"CONFORME","VERIFICAR")),"")</x:f>
      </x:c>
    </x:row>
    <x:row r="156">
      <x:c r="A156" s="52"/>
      <x:c r="G156" s="53"/>
      <x:c r="K156" s="53" t="n">
        <x:f>IF(B156="ENTRADA",G156,0)</x:f>
        <x:v>0</x:v>
      </x:c>
      <x:c r="L156" s="53" t="n">
        <x:f>IF(OR(B156="CONSUMO",B156="SAÍDA"),G156,0)</x:f>
        <x:v>0</x:v>
      </x:c>
      <x:c r="M156" s="53" t="n">
        <x:f>IF(C156="Farinheira",'Regras e Listas'!$D$4,IF(C156="Colorífico",'Regras e Listas'!$D$5,IF(C156="Farinha para o Flotamil",'Regras e Listas'!$D$6,0)))</x:f>
        <x:v>0</x:v>
      </x:c>
      <x:c r="N156" s="53" t="n">
        <x:f>K156*M156</x:f>
        <x:v>0</x:v>
      </x:c>
      <x:c r="O156" s="53" t="n">
        <x:f>L156*M156</x:f>
        <x:v>0</x:v>
      </x:c>
      <x:c r="P156" t="str">
        <x:f>IF(OR(B156="CONSUMO",B156="SAÍDA"),IF(ISNUMBER(SEARCH("não seguiu FIFO",I156)),"NÃO CONFORME",IF(ISNUMBER(SEARCH("FIFO automático",I156)),"CONFORME","VERIFICAR")),"")</x:f>
      </x:c>
    </x:row>
    <x:row r="157">
      <x:c r="A157" s="52"/>
      <x:c r="G157" s="53"/>
      <x:c r="K157" s="53" t="n">
        <x:f>IF(B157="ENTRADA",G157,0)</x:f>
        <x:v>0</x:v>
      </x:c>
      <x:c r="L157" s="53" t="n">
        <x:f>IF(OR(B157="CONSUMO",B157="SAÍDA"),G157,0)</x:f>
        <x:v>0</x:v>
      </x:c>
      <x:c r="M157" s="53" t="n">
        <x:f>IF(C157="Farinheira",'Regras e Listas'!$D$4,IF(C157="Colorífico",'Regras e Listas'!$D$5,IF(C157="Farinha para o Flotamil",'Regras e Listas'!$D$6,0)))</x:f>
        <x:v>0</x:v>
      </x:c>
      <x:c r="N157" s="53" t="n">
        <x:f>K157*M157</x:f>
        <x:v>0</x:v>
      </x:c>
      <x:c r="O157" s="53" t="n">
        <x:f>L157*M157</x:f>
        <x:v>0</x:v>
      </x:c>
      <x:c r="P157" t="str">
        <x:f>IF(OR(B157="CONSUMO",B157="SAÍDA"),IF(ISNUMBER(SEARCH("não seguiu FIFO",I157)),"NÃO CONFORME",IF(ISNUMBER(SEARCH("FIFO automático",I157)),"CONFORME","VERIFICAR")),"")</x:f>
      </x:c>
    </x:row>
    <x:row r="158">
      <x:c r="A158" s="52"/>
      <x:c r="G158" s="53"/>
      <x:c r="K158" s="53" t="n">
        <x:f>IF(B158="ENTRADA",G158,0)</x:f>
        <x:v>0</x:v>
      </x:c>
      <x:c r="L158" s="53" t="n">
        <x:f>IF(OR(B158="CONSUMO",B158="SAÍDA"),G158,0)</x:f>
        <x:v>0</x:v>
      </x:c>
      <x:c r="M158" s="53" t="n">
        <x:f>IF(C158="Farinheira",'Regras e Listas'!$D$4,IF(C158="Colorífico",'Regras e Listas'!$D$5,IF(C158="Farinha para o Flotamil",'Regras e Listas'!$D$6,0)))</x:f>
        <x:v>0</x:v>
      </x:c>
      <x:c r="N158" s="53" t="n">
        <x:f>K158*M158</x:f>
        <x:v>0</x:v>
      </x:c>
      <x:c r="O158" s="53" t="n">
        <x:f>L158*M158</x:f>
        <x:v>0</x:v>
      </x:c>
      <x:c r="P158" t="str">
        <x:f>IF(OR(B158="CONSUMO",B158="SAÍDA"),IF(ISNUMBER(SEARCH("não seguiu FIFO",I158)),"NÃO CONFORME",IF(ISNUMBER(SEARCH("FIFO automático",I158)),"CONFORME","VERIFICAR")),"")</x:f>
      </x:c>
    </x:row>
    <x:row r="159">
      <x:c r="A159" s="52"/>
      <x:c r="G159" s="53"/>
      <x:c r="K159" s="53" t="n">
        <x:f>IF(B159="ENTRADA",G159,0)</x:f>
        <x:v>0</x:v>
      </x:c>
      <x:c r="L159" s="53" t="n">
        <x:f>IF(OR(B159="CONSUMO",B159="SAÍDA"),G159,0)</x:f>
        <x:v>0</x:v>
      </x:c>
      <x:c r="M159" s="53" t="n">
        <x:f>IF(C159="Farinheira",'Regras e Listas'!$D$4,IF(C159="Colorífico",'Regras e Listas'!$D$5,IF(C159="Farinha para o Flotamil",'Regras e Listas'!$D$6,0)))</x:f>
        <x:v>0</x:v>
      </x:c>
      <x:c r="N159" s="53" t="n">
        <x:f>K159*M159</x:f>
        <x:v>0</x:v>
      </x:c>
      <x:c r="O159" s="53" t="n">
        <x:f>L159*M159</x:f>
        <x:v>0</x:v>
      </x:c>
      <x:c r="P159" t="str">
        <x:f>IF(OR(B159="CONSUMO",B159="SAÍDA"),IF(ISNUMBER(SEARCH("não seguiu FIFO",I159)),"NÃO CONFORME",IF(ISNUMBER(SEARCH("FIFO automático",I159)),"CONFORME","VERIFICAR")),"")</x:f>
      </x:c>
    </x:row>
    <x:row r="160">
      <x:c r="A160" s="52"/>
      <x:c r="G160" s="53"/>
      <x:c r="K160" s="53" t="n">
        <x:f>IF(B160="ENTRADA",G160,0)</x:f>
        <x:v>0</x:v>
      </x:c>
      <x:c r="L160" s="53" t="n">
        <x:f>IF(OR(B160="CONSUMO",B160="SAÍDA"),G160,0)</x:f>
        <x:v>0</x:v>
      </x:c>
      <x:c r="M160" s="53" t="n">
        <x:f>IF(C160="Farinheira",'Regras e Listas'!$D$4,IF(C160="Colorífico",'Regras e Listas'!$D$5,IF(C160="Farinha para o Flotamil",'Regras e Listas'!$D$6,0)))</x:f>
        <x:v>0</x:v>
      </x:c>
      <x:c r="N160" s="53" t="n">
        <x:f>K160*M160</x:f>
        <x:v>0</x:v>
      </x:c>
      <x:c r="O160" s="53" t="n">
        <x:f>L160*M160</x:f>
        <x:v>0</x:v>
      </x:c>
      <x:c r="P160" t="str">
        <x:f>IF(OR(B160="CONSUMO",B160="SAÍDA"),IF(ISNUMBER(SEARCH("não seguiu FIFO",I160)),"NÃO CONFORME",IF(ISNUMBER(SEARCH("FIFO automático",I160)),"CONFORME","VERIFICAR")),"")</x:f>
      </x:c>
    </x:row>
    <x:row r="161">
      <x:c r="A161" s="52"/>
      <x:c r="G161" s="53"/>
      <x:c r="K161" s="53" t="n">
        <x:f>IF(B161="ENTRADA",G161,0)</x:f>
        <x:v>0</x:v>
      </x:c>
      <x:c r="L161" s="53" t="n">
        <x:f>IF(OR(B161="CONSUMO",B161="SAÍDA"),G161,0)</x:f>
        <x:v>0</x:v>
      </x:c>
      <x:c r="M161" s="53" t="n">
        <x:f>IF(C161="Farinheira",'Regras e Listas'!$D$4,IF(C161="Colorífico",'Regras e Listas'!$D$5,IF(C161="Farinha para o Flotamil",'Regras e Listas'!$D$6,0)))</x:f>
        <x:v>0</x:v>
      </x:c>
      <x:c r="N161" s="53" t="n">
        <x:f>K161*M161</x:f>
        <x:v>0</x:v>
      </x:c>
      <x:c r="O161" s="53" t="n">
        <x:f>L161*M161</x:f>
        <x:v>0</x:v>
      </x:c>
      <x:c r="P161" t="str">
        <x:f>IF(OR(B161="CONSUMO",B161="SAÍDA"),IF(ISNUMBER(SEARCH("não seguiu FIFO",I161)),"NÃO CONFORME",IF(ISNUMBER(SEARCH("FIFO automático",I161)),"CONFORME","VERIFICAR")),"")</x:f>
      </x:c>
    </x:row>
    <x:row r="162">
      <x:c r="A162" s="52"/>
      <x:c r="G162" s="53"/>
      <x:c r="K162" s="53" t="n">
        <x:f>IF(B162="ENTRADA",G162,0)</x:f>
        <x:v>0</x:v>
      </x:c>
      <x:c r="L162" s="53" t="n">
        <x:f>IF(OR(B162="CONSUMO",B162="SAÍDA"),G162,0)</x:f>
        <x:v>0</x:v>
      </x:c>
      <x:c r="M162" s="53" t="n">
        <x:f>IF(C162="Farinheira",'Regras e Listas'!$D$4,IF(C162="Colorífico",'Regras e Listas'!$D$5,IF(C162="Farinha para o Flotamil",'Regras e Listas'!$D$6,0)))</x:f>
        <x:v>0</x:v>
      </x:c>
      <x:c r="N162" s="53" t="n">
        <x:f>K162*M162</x:f>
        <x:v>0</x:v>
      </x:c>
      <x:c r="O162" s="53" t="n">
        <x:f>L162*M162</x:f>
        <x:v>0</x:v>
      </x:c>
      <x:c r="P162" t="str">
        <x:f>IF(OR(B162="CONSUMO",B162="SAÍDA"),IF(ISNUMBER(SEARCH("não seguiu FIFO",I162)),"NÃO CONFORME",IF(ISNUMBER(SEARCH("FIFO automático",I162)),"CONFORME","VERIFICAR")),"")</x:f>
      </x:c>
    </x:row>
    <x:row r="163">
      <x:c r="A163" s="52"/>
      <x:c r="G163" s="53"/>
      <x:c r="K163" s="53" t="n">
        <x:f>IF(B163="ENTRADA",G163,0)</x:f>
        <x:v>0</x:v>
      </x:c>
      <x:c r="L163" s="53" t="n">
        <x:f>IF(OR(B163="CONSUMO",B163="SAÍDA"),G163,0)</x:f>
        <x:v>0</x:v>
      </x:c>
      <x:c r="M163" s="53" t="n">
        <x:f>IF(C163="Farinheira",'Regras e Listas'!$D$4,IF(C163="Colorífico",'Regras e Listas'!$D$5,IF(C163="Farinha para o Flotamil",'Regras e Listas'!$D$6,0)))</x:f>
        <x:v>0</x:v>
      </x:c>
      <x:c r="N163" s="53" t="n">
        <x:f>K163*M163</x:f>
        <x:v>0</x:v>
      </x:c>
      <x:c r="O163" s="53" t="n">
        <x:f>L163*M163</x:f>
        <x:v>0</x:v>
      </x:c>
      <x:c r="P163" t="str">
        <x:f>IF(OR(B163="CONSUMO",B163="SAÍDA"),IF(ISNUMBER(SEARCH("não seguiu FIFO",I163)),"NÃO CONFORME",IF(ISNUMBER(SEARCH("FIFO automático",I163)),"CONFORME","VERIFICAR")),"")</x:f>
      </x:c>
    </x:row>
    <x:row r="164">
      <x:c r="A164" s="52"/>
      <x:c r="G164" s="53"/>
      <x:c r="K164" s="53" t="n">
        <x:f>IF(B164="ENTRADA",G164,0)</x:f>
        <x:v>0</x:v>
      </x:c>
      <x:c r="L164" s="53" t="n">
        <x:f>IF(OR(B164="CONSUMO",B164="SAÍDA"),G164,0)</x:f>
        <x:v>0</x:v>
      </x:c>
      <x:c r="M164" s="53" t="n">
        <x:f>IF(C164="Farinheira",'Regras e Listas'!$D$4,IF(C164="Colorífico",'Regras e Listas'!$D$5,IF(C164="Farinha para o Flotamil",'Regras e Listas'!$D$6,0)))</x:f>
        <x:v>0</x:v>
      </x:c>
      <x:c r="N164" s="53" t="n">
        <x:f>K164*M164</x:f>
        <x:v>0</x:v>
      </x:c>
      <x:c r="O164" s="53" t="n">
        <x:f>L164*M164</x:f>
        <x:v>0</x:v>
      </x:c>
      <x:c r="P164" t="str">
        <x:f>IF(OR(B164="CONSUMO",B164="SAÍDA"),IF(ISNUMBER(SEARCH("não seguiu FIFO",I164)),"NÃO CONFORME",IF(ISNUMBER(SEARCH("FIFO automático",I164)),"CONFORME","VERIFICAR")),"")</x:f>
      </x:c>
    </x:row>
    <x:row r="165">
      <x:c r="A165" s="52"/>
      <x:c r="G165" s="53"/>
      <x:c r="K165" s="53" t="n">
        <x:f>IF(B165="ENTRADA",G165,0)</x:f>
        <x:v>0</x:v>
      </x:c>
      <x:c r="L165" s="53" t="n">
        <x:f>IF(OR(B165="CONSUMO",B165="SAÍDA"),G165,0)</x:f>
        <x:v>0</x:v>
      </x:c>
      <x:c r="M165" s="53" t="n">
        <x:f>IF(C165="Farinheira",'Regras e Listas'!$D$4,IF(C165="Colorífico",'Regras e Listas'!$D$5,IF(C165="Farinha para o Flotamil",'Regras e Listas'!$D$6,0)))</x:f>
        <x:v>0</x:v>
      </x:c>
      <x:c r="N165" s="53" t="n">
        <x:f>K165*M165</x:f>
        <x:v>0</x:v>
      </x:c>
      <x:c r="O165" s="53" t="n">
        <x:f>L165*M165</x:f>
        <x:v>0</x:v>
      </x:c>
      <x:c r="P165" t="str">
        <x:f>IF(OR(B165="CONSUMO",B165="SAÍDA"),IF(ISNUMBER(SEARCH("não seguiu FIFO",I165)),"NÃO CONFORME",IF(ISNUMBER(SEARCH("FIFO automático",I165)),"CONFORME","VERIFICAR")),"")</x:f>
      </x:c>
    </x:row>
    <x:row r="166">
      <x:c r="A166" s="52"/>
      <x:c r="G166" s="53"/>
      <x:c r="K166" s="53" t="n">
        <x:f>IF(B166="ENTRADA",G166,0)</x:f>
        <x:v>0</x:v>
      </x:c>
      <x:c r="L166" s="53" t="n">
        <x:f>IF(OR(B166="CONSUMO",B166="SAÍDA"),G166,0)</x:f>
        <x:v>0</x:v>
      </x:c>
      <x:c r="M166" s="53" t="n">
        <x:f>IF(C166="Farinheira",'Regras e Listas'!$D$4,IF(C166="Colorífico",'Regras e Listas'!$D$5,IF(C166="Farinha para o Flotamil",'Regras e Listas'!$D$6,0)))</x:f>
        <x:v>0</x:v>
      </x:c>
      <x:c r="N166" s="53" t="n">
        <x:f>K166*M166</x:f>
        <x:v>0</x:v>
      </x:c>
      <x:c r="O166" s="53" t="n">
        <x:f>L166*M166</x:f>
        <x:v>0</x:v>
      </x:c>
      <x:c r="P166" t="str">
        <x:f>IF(OR(B166="CONSUMO",B166="SAÍDA"),IF(ISNUMBER(SEARCH("não seguiu FIFO",I166)),"NÃO CONFORME",IF(ISNUMBER(SEARCH("FIFO automático",I166)),"CONFORME","VERIFICAR")),"")</x:f>
      </x:c>
    </x:row>
    <x:row r="167">
      <x:c r="A167" s="52"/>
      <x:c r="G167" s="53"/>
      <x:c r="K167" s="53" t="n">
        <x:f>IF(B167="ENTRADA",G167,0)</x:f>
        <x:v>0</x:v>
      </x:c>
      <x:c r="L167" s="53" t="n">
        <x:f>IF(OR(B167="CONSUMO",B167="SAÍDA"),G167,0)</x:f>
        <x:v>0</x:v>
      </x:c>
      <x:c r="M167" s="53" t="n">
        <x:f>IF(C167="Farinheira",'Regras e Listas'!$D$4,IF(C167="Colorífico",'Regras e Listas'!$D$5,IF(C167="Farinha para o Flotamil",'Regras e Listas'!$D$6,0)))</x:f>
        <x:v>0</x:v>
      </x:c>
      <x:c r="N167" s="53" t="n">
        <x:f>K167*M167</x:f>
        <x:v>0</x:v>
      </x:c>
      <x:c r="O167" s="53" t="n">
        <x:f>L167*M167</x:f>
        <x:v>0</x:v>
      </x:c>
      <x:c r="P167" t="str">
        <x:f>IF(OR(B167="CONSUMO",B167="SAÍDA"),IF(ISNUMBER(SEARCH("não seguiu FIFO",I167)),"NÃO CONFORME",IF(ISNUMBER(SEARCH("FIFO automático",I167)),"CONFORME","VERIFICAR")),"")</x:f>
      </x:c>
    </x:row>
    <x:row r="168">
      <x:c r="A168" s="52"/>
      <x:c r="G168" s="53"/>
      <x:c r="K168" s="53" t="n">
        <x:f>IF(B168="ENTRADA",G168,0)</x:f>
        <x:v>0</x:v>
      </x:c>
      <x:c r="L168" s="53" t="n">
        <x:f>IF(OR(B168="CONSUMO",B168="SAÍDA"),G168,0)</x:f>
        <x:v>0</x:v>
      </x:c>
      <x:c r="M168" s="53" t="n">
        <x:f>IF(C168="Farinheira",'Regras e Listas'!$D$4,IF(C168="Colorífico",'Regras e Listas'!$D$5,IF(C168="Farinha para o Flotamil",'Regras e Listas'!$D$6,0)))</x:f>
        <x:v>0</x:v>
      </x:c>
      <x:c r="N168" s="53" t="n">
        <x:f>K168*M168</x:f>
        <x:v>0</x:v>
      </x:c>
      <x:c r="O168" s="53" t="n">
        <x:f>L168*M168</x:f>
        <x:v>0</x:v>
      </x:c>
      <x:c r="P168" t="str">
        <x:f>IF(OR(B168="CONSUMO",B168="SAÍDA"),IF(ISNUMBER(SEARCH("não seguiu FIFO",I168)),"NÃO CONFORME",IF(ISNUMBER(SEARCH("FIFO automático",I168)),"CONFORME","VERIFICAR")),"")</x:f>
      </x:c>
    </x:row>
    <x:row r="169">
      <x:c r="A169" s="52"/>
      <x:c r="G169" s="53"/>
      <x:c r="K169" s="53" t="n">
        <x:f>IF(B169="ENTRADA",G169,0)</x:f>
        <x:v>0</x:v>
      </x:c>
      <x:c r="L169" s="53" t="n">
        <x:f>IF(OR(B169="CONSUMO",B169="SAÍDA"),G169,0)</x:f>
        <x:v>0</x:v>
      </x:c>
      <x:c r="M169" s="53" t="n">
        <x:f>IF(C169="Farinheira",'Regras e Listas'!$D$4,IF(C169="Colorífico",'Regras e Listas'!$D$5,IF(C169="Farinha para o Flotamil",'Regras e Listas'!$D$6,0)))</x:f>
        <x:v>0</x:v>
      </x:c>
      <x:c r="N169" s="53" t="n">
        <x:f>K169*M169</x:f>
        <x:v>0</x:v>
      </x:c>
      <x:c r="O169" s="53" t="n">
        <x:f>L169*M169</x:f>
        <x:v>0</x:v>
      </x:c>
      <x:c r="P169" t="str">
        <x:f>IF(OR(B169="CONSUMO",B169="SAÍDA"),IF(ISNUMBER(SEARCH("não seguiu FIFO",I169)),"NÃO CONFORME",IF(ISNUMBER(SEARCH("FIFO automático",I169)),"CONFORME","VERIFICAR")),"")</x:f>
      </x:c>
    </x:row>
    <x:row r="170">
      <x:c r="A170" s="52"/>
      <x:c r="G170" s="53"/>
      <x:c r="K170" s="53" t="n">
        <x:f>IF(B170="ENTRADA",G170,0)</x:f>
        <x:v>0</x:v>
      </x:c>
      <x:c r="L170" s="53" t="n">
        <x:f>IF(OR(B170="CONSUMO",B170="SAÍDA"),G170,0)</x:f>
        <x:v>0</x:v>
      </x:c>
      <x:c r="M170" s="53" t="n">
        <x:f>IF(C170="Farinheira",'Regras e Listas'!$D$4,IF(C170="Colorífico",'Regras e Listas'!$D$5,IF(C170="Farinha para o Flotamil",'Regras e Listas'!$D$6,0)))</x:f>
        <x:v>0</x:v>
      </x:c>
      <x:c r="N170" s="53" t="n">
        <x:f>K170*M170</x:f>
        <x:v>0</x:v>
      </x:c>
      <x:c r="O170" s="53" t="n">
        <x:f>L170*M170</x:f>
        <x:v>0</x:v>
      </x:c>
      <x:c r="P170" t="str">
        <x:f>IF(OR(B170="CONSUMO",B170="SAÍDA"),IF(ISNUMBER(SEARCH("não seguiu FIFO",I170)),"NÃO CONFORME",IF(ISNUMBER(SEARCH("FIFO automático",I170)),"CONFORME","VERIFICAR")),"")</x:f>
      </x:c>
    </x:row>
    <x:row r="171">
      <x:c r="A171" s="52"/>
      <x:c r="G171" s="53"/>
      <x:c r="K171" s="53" t="n">
        <x:f>IF(B171="ENTRADA",G171,0)</x:f>
        <x:v>0</x:v>
      </x:c>
      <x:c r="L171" s="53" t="n">
        <x:f>IF(OR(B171="CONSUMO",B171="SAÍDA"),G171,0)</x:f>
        <x:v>0</x:v>
      </x:c>
      <x:c r="M171" s="53" t="n">
        <x:f>IF(C171="Farinheira",'Regras e Listas'!$D$4,IF(C171="Colorífico",'Regras e Listas'!$D$5,IF(C171="Farinha para o Flotamil",'Regras e Listas'!$D$6,0)))</x:f>
        <x:v>0</x:v>
      </x:c>
      <x:c r="N171" s="53" t="n">
        <x:f>K171*M171</x:f>
        <x:v>0</x:v>
      </x:c>
      <x:c r="O171" s="53" t="n">
        <x:f>L171*M171</x:f>
        <x:v>0</x:v>
      </x:c>
      <x:c r="P171" t="str">
        <x:f>IF(OR(B171="CONSUMO",B171="SAÍDA"),IF(ISNUMBER(SEARCH("não seguiu FIFO",I171)),"NÃO CONFORME",IF(ISNUMBER(SEARCH("FIFO automático",I171)),"CONFORME","VERIFICAR")),"")</x:f>
      </x:c>
    </x:row>
    <x:row r="172">
      <x:c r="A172" s="52"/>
      <x:c r="G172" s="53"/>
      <x:c r="K172" s="53" t="n">
        <x:f>IF(B172="ENTRADA",G172,0)</x:f>
        <x:v>0</x:v>
      </x:c>
      <x:c r="L172" s="53" t="n">
        <x:f>IF(OR(B172="CONSUMO",B172="SAÍDA"),G172,0)</x:f>
        <x:v>0</x:v>
      </x:c>
      <x:c r="M172" s="53" t="n">
        <x:f>IF(C172="Farinheira",'Regras e Listas'!$D$4,IF(C172="Colorífico",'Regras e Listas'!$D$5,IF(C172="Farinha para o Flotamil",'Regras e Listas'!$D$6,0)))</x:f>
        <x:v>0</x:v>
      </x:c>
      <x:c r="N172" s="53" t="n">
        <x:f>K172*M172</x:f>
        <x:v>0</x:v>
      </x:c>
      <x:c r="O172" s="53" t="n">
        <x:f>L172*M172</x:f>
        <x:v>0</x:v>
      </x:c>
      <x:c r="P172" t="str">
        <x:f>IF(OR(B172="CONSUMO",B172="SAÍDA"),IF(ISNUMBER(SEARCH("não seguiu FIFO",I172)),"NÃO CONFORME",IF(ISNUMBER(SEARCH("FIFO automático",I172)),"CONFORME","VERIFICAR")),"")</x:f>
      </x:c>
    </x:row>
    <x:row r="173">
      <x:c r="A173" s="52"/>
      <x:c r="G173" s="53"/>
      <x:c r="K173" s="53" t="n">
        <x:f>IF(B173="ENTRADA",G173,0)</x:f>
        <x:v>0</x:v>
      </x:c>
      <x:c r="L173" s="53" t="n">
        <x:f>IF(OR(B173="CONSUMO",B173="SAÍDA"),G173,0)</x:f>
        <x:v>0</x:v>
      </x:c>
      <x:c r="M173" s="53" t="n">
        <x:f>IF(C173="Farinheira",'Regras e Listas'!$D$4,IF(C173="Colorífico",'Regras e Listas'!$D$5,IF(C173="Farinha para o Flotamil",'Regras e Listas'!$D$6,0)))</x:f>
        <x:v>0</x:v>
      </x:c>
      <x:c r="N173" s="53" t="n">
        <x:f>K173*M173</x:f>
        <x:v>0</x:v>
      </x:c>
      <x:c r="O173" s="53" t="n">
        <x:f>L173*M173</x:f>
        <x:v>0</x:v>
      </x:c>
      <x:c r="P173" t="str">
        <x:f>IF(OR(B173="CONSUMO",B173="SAÍDA"),IF(ISNUMBER(SEARCH("não seguiu FIFO",I173)),"NÃO CONFORME",IF(ISNUMBER(SEARCH("FIFO automático",I173)),"CONFORME","VERIFICAR")),"")</x:f>
      </x:c>
    </x:row>
    <x:row r="174">
      <x:c r="A174" s="52"/>
      <x:c r="G174" s="53"/>
      <x:c r="K174" s="53" t="n">
        <x:f>IF(B174="ENTRADA",G174,0)</x:f>
        <x:v>0</x:v>
      </x:c>
      <x:c r="L174" s="53" t="n">
        <x:f>IF(OR(B174="CONSUMO",B174="SAÍDA"),G174,0)</x:f>
        <x:v>0</x:v>
      </x:c>
      <x:c r="M174" s="53" t="n">
        <x:f>IF(C174="Farinheira",'Regras e Listas'!$D$4,IF(C174="Colorífico",'Regras e Listas'!$D$5,IF(C174="Farinha para o Flotamil",'Regras e Listas'!$D$6,0)))</x:f>
        <x:v>0</x:v>
      </x:c>
      <x:c r="N174" s="53" t="n">
        <x:f>K174*M174</x:f>
        <x:v>0</x:v>
      </x:c>
      <x:c r="O174" s="53" t="n">
        <x:f>L174*M174</x:f>
        <x:v>0</x:v>
      </x:c>
      <x:c r="P174" t="str">
        <x:f>IF(OR(B174="CONSUMO",B174="SAÍDA"),IF(ISNUMBER(SEARCH("não seguiu FIFO",I174)),"NÃO CONFORME",IF(ISNUMBER(SEARCH("FIFO automático",I174)),"CONFORME","VERIFICAR")),"")</x:f>
      </x:c>
    </x:row>
    <x:row r="175">
      <x:c r="A175" s="52"/>
      <x:c r="G175" s="53"/>
      <x:c r="K175" s="53" t="n">
        <x:f>IF(B175="ENTRADA",G175,0)</x:f>
        <x:v>0</x:v>
      </x:c>
      <x:c r="L175" s="53" t="n">
        <x:f>IF(OR(B175="CONSUMO",B175="SAÍDA"),G175,0)</x:f>
        <x:v>0</x:v>
      </x:c>
      <x:c r="M175" s="53" t="n">
        <x:f>IF(C175="Farinheira",'Regras e Listas'!$D$4,IF(C175="Colorífico",'Regras e Listas'!$D$5,IF(C175="Farinha para o Flotamil",'Regras e Listas'!$D$6,0)))</x:f>
        <x:v>0</x:v>
      </x:c>
      <x:c r="N175" s="53" t="n">
        <x:f>K175*M175</x:f>
        <x:v>0</x:v>
      </x:c>
      <x:c r="O175" s="53" t="n">
        <x:f>L175*M175</x:f>
        <x:v>0</x:v>
      </x:c>
      <x:c r="P175" t="str">
        <x:f>IF(OR(B175="CONSUMO",B175="SAÍDA"),IF(ISNUMBER(SEARCH("não seguiu FIFO",I175)),"NÃO CONFORME",IF(ISNUMBER(SEARCH("FIFO automático",I175)),"CONFORME","VERIFICAR")),"")</x:f>
      </x:c>
    </x:row>
    <x:row r="176">
      <x:c r="A176" s="52"/>
      <x:c r="G176" s="53"/>
      <x:c r="K176" s="53" t="n">
        <x:f>IF(B176="ENTRADA",G176,0)</x:f>
        <x:v>0</x:v>
      </x:c>
      <x:c r="L176" s="53" t="n">
        <x:f>IF(OR(B176="CONSUMO",B176="SAÍDA"),G176,0)</x:f>
        <x:v>0</x:v>
      </x:c>
      <x:c r="M176" s="53" t="n">
        <x:f>IF(C176="Farinheira",'Regras e Listas'!$D$4,IF(C176="Colorífico",'Regras e Listas'!$D$5,IF(C176="Farinha para o Flotamil",'Regras e Listas'!$D$6,0)))</x:f>
        <x:v>0</x:v>
      </x:c>
      <x:c r="N176" s="53" t="n">
        <x:f>K176*M176</x:f>
        <x:v>0</x:v>
      </x:c>
      <x:c r="O176" s="53" t="n">
        <x:f>L176*M176</x:f>
        <x:v>0</x:v>
      </x:c>
      <x:c r="P176" t="str">
        <x:f>IF(OR(B176="CONSUMO",B176="SAÍDA"),IF(ISNUMBER(SEARCH("não seguiu FIFO",I176)),"NÃO CONFORME",IF(ISNUMBER(SEARCH("FIFO automático",I176)),"CONFORME","VERIFICAR")),"")</x:f>
      </x:c>
    </x:row>
    <x:row r="177">
      <x:c r="A177" s="52"/>
      <x:c r="G177" s="53"/>
      <x:c r="K177" s="53" t="n">
        <x:f>IF(B177="ENTRADA",G177,0)</x:f>
        <x:v>0</x:v>
      </x:c>
      <x:c r="L177" s="53" t="n">
        <x:f>IF(OR(B177="CONSUMO",B177="SAÍDA"),G177,0)</x:f>
        <x:v>0</x:v>
      </x:c>
      <x:c r="M177" s="53" t="n">
        <x:f>IF(C177="Farinheira",'Regras e Listas'!$D$4,IF(C177="Colorífico",'Regras e Listas'!$D$5,IF(C177="Farinha para o Flotamil",'Regras e Listas'!$D$6,0)))</x:f>
        <x:v>0</x:v>
      </x:c>
      <x:c r="N177" s="53" t="n">
        <x:f>K177*M177</x:f>
        <x:v>0</x:v>
      </x:c>
      <x:c r="O177" s="53" t="n">
        <x:f>L177*M177</x:f>
        <x:v>0</x:v>
      </x:c>
      <x:c r="P177" t="str">
        <x:f>IF(OR(B177="CONSUMO",B177="SAÍDA"),IF(ISNUMBER(SEARCH("não seguiu FIFO",I177)),"NÃO CONFORME",IF(ISNUMBER(SEARCH("FIFO automático",I177)),"CONFORME","VERIFICAR")),"")</x:f>
      </x:c>
    </x:row>
    <x:row r="178">
      <x:c r="A178" s="52"/>
      <x:c r="G178" s="53"/>
      <x:c r="K178" s="53" t="n">
        <x:f>IF(B178="ENTRADA",G178,0)</x:f>
        <x:v>0</x:v>
      </x:c>
      <x:c r="L178" s="53" t="n">
        <x:f>IF(OR(B178="CONSUMO",B178="SAÍDA"),G178,0)</x:f>
        <x:v>0</x:v>
      </x:c>
      <x:c r="M178" s="53" t="n">
        <x:f>IF(C178="Farinheira",'Regras e Listas'!$D$4,IF(C178="Colorífico",'Regras e Listas'!$D$5,IF(C178="Farinha para o Flotamil",'Regras e Listas'!$D$6,0)))</x:f>
        <x:v>0</x:v>
      </x:c>
      <x:c r="N178" s="53" t="n">
        <x:f>K178*M178</x:f>
        <x:v>0</x:v>
      </x:c>
      <x:c r="O178" s="53" t="n">
        <x:f>L178*M178</x:f>
        <x:v>0</x:v>
      </x:c>
      <x:c r="P178" t="str">
        <x:f>IF(OR(B178="CONSUMO",B178="SAÍDA"),IF(ISNUMBER(SEARCH("não seguiu FIFO",I178)),"NÃO CONFORME",IF(ISNUMBER(SEARCH("FIFO automático",I178)),"CONFORME","VERIFICAR")),"")</x:f>
      </x:c>
    </x:row>
    <x:row r="179">
      <x:c r="A179" s="52"/>
      <x:c r="G179" s="53"/>
      <x:c r="K179" s="53" t="n">
        <x:f>IF(B179="ENTRADA",G179,0)</x:f>
        <x:v>0</x:v>
      </x:c>
      <x:c r="L179" s="53" t="n">
        <x:f>IF(OR(B179="CONSUMO",B179="SAÍDA"),G179,0)</x:f>
        <x:v>0</x:v>
      </x:c>
      <x:c r="M179" s="53" t="n">
        <x:f>IF(C179="Farinheira",'Regras e Listas'!$D$4,IF(C179="Colorífico",'Regras e Listas'!$D$5,IF(C179="Farinha para o Flotamil",'Regras e Listas'!$D$6,0)))</x:f>
        <x:v>0</x:v>
      </x:c>
      <x:c r="N179" s="53" t="n">
        <x:f>K179*M179</x:f>
        <x:v>0</x:v>
      </x:c>
      <x:c r="O179" s="53" t="n">
        <x:f>L179*M179</x:f>
        <x:v>0</x:v>
      </x:c>
      <x:c r="P179" t="str">
        <x:f>IF(OR(B179="CONSUMO",B179="SAÍDA"),IF(ISNUMBER(SEARCH("não seguiu FIFO",I179)),"NÃO CONFORME",IF(ISNUMBER(SEARCH("FIFO automático",I179)),"CONFORME","VERIFICAR")),"")</x:f>
      </x:c>
    </x:row>
    <x:row r="180">
      <x:c r="A180" s="52"/>
      <x:c r="G180" s="53"/>
      <x:c r="K180" s="53" t="n">
        <x:f>IF(B180="ENTRADA",G180,0)</x:f>
        <x:v>0</x:v>
      </x:c>
      <x:c r="L180" s="53" t="n">
        <x:f>IF(OR(B180="CONSUMO",B180="SAÍDA"),G180,0)</x:f>
        <x:v>0</x:v>
      </x:c>
      <x:c r="M180" s="53" t="n">
        <x:f>IF(C180="Farinheira",'Regras e Listas'!$D$4,IF(C180="Colorífico",'Regras e Listas'!$D$5,IF(C180="Farinha para o Flotamil",'Regras e Listas'!$D$6,0)))</x:f>
        <x:v>0</x:v>
      </x:c>
      <x:c r="N180" s="53" t="n">
        <x:f>K180*M180</x:f>
        <x:v>0</x:v>
      </x:c>
      <x:c r="O180" s="53" t="n">
        <x:f>L180*M180</x:f>
        <x:v>0</x:v>
      </x:c>
      <x:c r="P180" t="str">
        <x:f>IF(OR(B180="CONSUMO",B180="SAÍDA"),IF(ISNUMBER(SEARCH("não seguiu FIFO",I180)),"NÃO CONFORME",IF(ISNUMBER(SEARCH("FIFO automático",I180)),"CONFORME","VERIFICAR")),"")</x:f>
      </x:c>
    </x:row>
    <x:row r="181">
      <x:c r="A181" s="52"/>
      <x:c r="G181" s="53"/>
      <x:c r="K181" s="53" t="n">
        <x:f>IF(B181="ENTRADA",G181,0)</x:f>
        <x:v>0</x:v>
      </x:c>
      <x:c r="L181" s="53" t="n">
        <x:f>IF(OR(B181="CONSUMO",B181="SAÍDA"),G181,0)</x:f>
        <x:v>0</x:v>
      </x:c>
      <x:c r="M181" s="53" t="n">
        <x:f>IF(C181="Farinheira",'Regras e Listas'!$D$4,IF(C181="Colorífico",'Regras e Listas'!$D$5,IF(C181="Farinha para o Flotamil",'Regras e Listas'!$D$6,0)))</x:f>
        <x:v>0</x:v>
      </x:c>
      <x:c r="N181" s="53" t="n">
        <x:f>K181*M181</x:f>
        <x:v>0</x:v>
      </x:c>
      <x:c r="O181" s="53" t="n">
        <x:f>L181*M181</x:f>
        <x:v>0</x:v>
      </x:c>
      <x:c r="P181" t="str">
        <x:f>IF(OR(B181="CONSUMO",B181="SAÍDA"),IF(ISNUMBER(SEARCH("não seguiu FIFO",I181)),"NÃO CONFORME",IF(ISNUMBER(SEARCH("FIFO automático",I181)),"CONFORME","VERIFICAR")),"")</x:f>
      </x:c>
    </x:row>
    <x:row r="182">
      <x:c r="A182" s="52"/>
      <x:c r="G182" s="53"/>
      <x:c r="K182" s="53" t="n">
        <x:f>IF(B182="ENTRADA",G182,0)</x:f>
        <x:v>0</x:v>
      </x:c>
      <x:c r="L182" s="53" t="n">
        <x:f>IF(OR(B182="CONSUMO",B182="SAÍDA"),G182,0)</x:f>
        <x:v>0</x:v>
      </x:c>
      <x:c r="M182" s="53" t="n">
        <x:f>IF(C182="Farinheira",'Regras e Listas'!$D$4,IF(C182="Colorífico",'Regras e Listas'!$D$5,IF(C182="Farinha para o Flotamil",'Regras e Listas'!$D$6,0)))</x:f>
        <x:v>0</x:v>
      </x:c>
      <x:c r="N182" s="53" t="n">
        <x:f>K182*M182</x:f>
        <x:v>0</x:v>
      </x:c>
      <x:c r="O182" s="53" t="n">
        <x:f>L182*M182</x:f>
        <x:v>0</x:v>
      </x:c>
      <x:c r="P182" t="str">
        <x:f>IF(OR(B182="CONSUMO",B182="SAÍDA"),IF(ISNUMBER(SEARCH("não seguiu FIFO",I182)),"NÃO CONFORME",IF(ISNUMBER(SEARCH("FIFO automático",I182)),"CONFORME","VERIFICAR")),"")</x:f>
      </x:c>
    </x:row>
    <x:row r="183">
      <x:c r="A183" s="52"/>
      <x:c r="G183" s="53"/>
      <x:c r="K183" s="53" t="n">
        <x:f>IF(B183="ENTRADA",G183,0)</x:f>
        <x:v>0</x:v>
      </x:c>
      <x:c r="L183" s="53" t="n">
        <x:f>IF(OR(B183="CONSUMO",B183="SAÍDA"),G183,0)</x:f>
        <x:v>0</x:v>
      </x:c>
      <x:c r="M183" s="53" t="n">
        <x:f>IF(C183="Farinheira",'Regras e Listas'!$D$4,IF(C183="Colorífico",'Regras e Listas'!$D$5,IF(C183="Farinha para o Flotamil",'Regras e Listas'!$D$6,0)))</x:f>
        <x:v>0</x:v>
      </x:c>
      <x:c r="N183" s="53" t="n">
        <x:f>K183*M183</x:f>
        <x:v>0</x:v>
      </x:c>
      <x:c r="O183" s="53" t="n">
        <x:f>L183*M183</x:f>
        <x:v>0</x:v>
      </x:c>
      <x:c r="P183" t="str">
        <x:f>IF(OR(B183="CONSUMO",B183="SAÍDA"),IF(ISNUMBER(SEARCH("não seguiu FIFO",I183)),"NÃO CONFORME",IF(ISNUMBER(SEARCH("FIFO automático",I183)),"CONFORME","VERIFICAR")),"")</x:f>
      </x:c>
    </x:row>
    <x:row r="184">
      <x:c r="A184" s="52"/>
      <x:c r="G184" s="53"/>
      <x:c r="K184" s="53" t="n">
        <x:f>IF(B184="ENTRADA",G184,0)</x:f>
        <x:v>0</x:v>
      </x:c>
      <x:c r="L184" s="53" t="n">
        <x:f>IF(OR(B184="CONSUMO",B184="SAÍDA"),G184,0)</x:f>
        <x:v>0</x:v>
      </x:c>
      <x:c r="M184" s="53" t="n">
        <x:f>IF(C184="Farinheira",'Regras e Listas'!$D$4,IF(C184="Colorífico",'Regras e Listas'!$D$5,IF(C184="Farinha para o Flotamil",'Regras e Listas'!$D$6,0)))</x:f>
        <x:v>0</x:v>
      </x:c>
      <x:c r="N184" s="53" t="n">
        <x:f>K184*M184</x:f>
        <x:v>0</x:v>
      </x:c>
      <x:c r="O184" s="53" t="n">
        <x:f>L184*M184</x:f>
        <x:v>0</x:v>
      </x:c>
      <x:c r="P184" t="str">
        <x:f>IF(OR(B184="CONSUMO",B184="SAÍDA"),IF(ISNUMBER(SEARCH("não seguiu FIFO",I184)),"NÃO CONFORME",IF(ISNUMBER(SEARCH("FIFO automático",I184)),"CONFORME","VERIFICAR")),"")</x:f>
      </x:c>
    </x:row>
    <x:row r="185">
      <x:c r="A185" s="52"/>
      <x:c r="G185" s="53"/>
      <x:c r="K185" s="53" t="n">
        <x:f>IF(B185="ENTRADA",G185,0)</x:f>
        <x:v>0</x:v>
      </x:c>
      <x:c r="L185" s="53" t="n">
        <x:f>IF(OR(B185="CONSUMO",B185="SAÍDA"),G185,0)</x:f>
        <x:v>0</x:v>
      </x:c>
      <x:c r="M185" s="53" t="n">
        <x:f>IF(C185="Farinheira",'Regras e Listas'!$D$4,IF(C185="Colorífico",'Regras e Listas'!$D$5,IF(C185="Farinha para o Flotamil",'Regras e Listas'!$D$6,0)))</x:f>
        <x:v>0</x:v>
      </x:c>
      <x:c r="N185" s="53" t="n">
        <x:f>K185*M185</x:f>
        <x:v>0</x:v>
      </x:c>
      <x:c r="O185" s="53" t="n">
        <x:f>L185*M185</x:f>
        <x:v>0</x:v>
      </x:c>
      <x:c r="P185" t="str">
        <x:f>IF(OR(B185="CONSUMO",B185="SAÍDA"),IF(ISNUMBER(SEARCH("não seguiu FIFO",I185)),"NÃO CONFORME",IF(ISNUMBER(SEARCH("FIFO automático",I185)),"CONFORME","VERIFICAR")),"")</x:f>
      </x:c>
    </x:row>
    <x:row r="186">
      <x:c r="A186" s="52"/>
      <x:c r="G186" s="53"/>
      <x:c r="K186" s="53" t="n">
        <x:f>IF(B186="ENTRADA",G186,0)</x:f>
        <x:v>0</x:v>
      </x:c>
      <x:c r="L186" s="53" t="n">
        <x:f>IF(OR(B186="CONSUMO",B186="SAÍDA"),G186,0)</x:f>
        <x:v>0</x:v>
      </x:c>
      <x:c r="M186" s="53" t="n">
        <x:f>IF(C186="Farinheira",'Regras e Listas'!$D$4,IF(C186="Colorífico",'Regras e Listas'!$D$5,IF(C186="Farinha para o Flotamil",'Regras e Listas'!$D$6,0)))</x:f>
        <x:v>0</x:v>
      </x:c>
      <x:c r="N186" s="53" t="n">
        <x:f>K186*M186</x:f>
        <x:v>0</x:v>
      </x:c>
      <x:c r="O186" s="53" t="n">
        <x:f>L186*M186</x:f>
        <x:v>0</x:v>
      </x:c>
      <x:c r="P186" t="str">
        <x:f>IF(OR(B186="CONSUMO",B186="SAÍDA"),IF(ISNUMBER(SEARCH("não seguiu FIFO",I186)),"NÃO CONFORME",IF(ISNUMBER(SEARCH("FIFO automático",I186)),"CONFORME","VERIFICAR")),"")</x:f>
      </x:c>
    </x:row>
    <x:row r="187">
      <x:c r="A187" s="52"/>
      <x:c r="G187" s="53"/>
      <x:c r="K187" s="53" t="n">
        <x:f>IF(B187="ENTRADA",G187,0)</x:f>
        <x:v>0</x:v>
      </x:c>
      <x:c r="L187" s="53" t="n">
        <x:f>IF(OR(B187="CONSUMO",B187="SAÍDA"),G187,0)</x:f>
        <x:v>0</x:v>
      </x:c>
      <x:c r="M187" s="53" t="n">
        <x:f>IF(C187="Farinheira",'Regras e Listas'!$D$4,IF(C187="Colorífico",'Regras e Listas'!$D$5,IF(C187="Farinha para o Flotamil",'Regras e Listas'!$D$6,0)))</x:f>
        <x:v>0</x:v>
      </x:c>
      <x:c r="N187" s="53" t="n">
        <x:f>K187*M187</x:f>
        <x:v>0</x:v>
      </x:c>
      <x:c r="O187" s="53" t="n">
        <x:f>L187*M187</x:f>
        <x:v>0</x:v>
      </x:c>
      <x:c r="P187" t="str">
        <x:f>IF(OR(B187="CONSUMO",B187="SAÍDA"),IF(ISNUMBER(SEARCH("não seguiu FIFO",I187)),"NÃO CONFORME",IF(ISNUMBER(SEARCH("FIFO automático",I187)),"CONFORME","VERIFICAR")),"")</x:f>
      </x:c>
    </x:row>
    <x:row r="188">
      <x:c r="A188" s="52"/>
      <x:c r="G188" s="53"/>
      <x:c r="K188" s="53" t="n">
        <x:f>IF(B188="ENTRADA",G188,0)</x:f>
        <x:v>0</x:v>
      </x:c>
      <x:c r="L188" s="53" t="n">
        <x:f>IF(OR(B188="CONSUMO",B188="SAÍDA"),G188,0)</x:f>
        <x:v>0</x:v>
      </x:c>
      <x:c r="M188" s="53" t="n">
        <x:f>IF(C188="Farinheira",'Regras e Listas'!$D$4,IF(C188="Colorífico",'Regras e Listas'!$D$5,IF(C188="Farinha para o Flotamil",'Regras e Listas'!$D$6,0)))</x:f>
        <x:v>0</x:v>
      </x:c>
      <x:c r="N188" s="53" t="n">
        <x:f>K188*M188</x:f>
        <x:v>0</x:v>
      </x:c>
      <x:c r="O188" s="53" t="n">
        <x:f>L188*M188</x:f>
        <x:v>0</x:v>
      </x:c>
      <x:c r="P188" t="str">
        <x:f>IF(OR(B188="CONSUMO",B188="SAÍDA"),IF(ISNUMBER(SEARCH("não seguiu FIFO",I188)),"NÃO CONFORME",IF(ISNUMBER(SEARCH("FIFO automático",I188)),"CONFORME","VERIFICAR")),"")</x:f>
      </x:c>
    </x:row>
    <x:row r="189">
      <x:c r="A189" s="52"/>
      <x:c r="G189" s="53"/>
      <x:c r="K189" s="53" t="n">
        <x:f>IF(B189="ENTRADA",G189,0)</x:f>
        <x:v>0</x:v>
      </x:c>
      <x:c r="L189" s="53" t="n">
        <x:f>IF(OR(B189="CONSUMO",B189="SAÍDA"),G189,0)</x:f>
        <x:v>0</x:v>
      </x:c>
      <x:c r="M189" s="53" t="n">
        <x:f>IF(C189="Farinheira",'Regras e Listas'!$D$4,IF(C189="Colorífico",'Regras e Listas'!$D$5,IF(C189="Farinha para o Flotamil",'Regras e Listas'!$D$6,0)))</x:f>
        <x:v>0</x:v>
      </x:c>
      <x:c r="N189" s="53" t="n">
        <x:f>K189*M189</x:f>
        <x:v>0</x:v>
      </x:c>
      <x:c r="O189" s="53" t="n">
        <x:f>L189*M189</x:f>
        <x:v>0</x:v>
      </x:c>
      <x:c r="P189" t="str">
        <x:f>IF(OR(B189="CONSUMO",B189="SAÍDA"),IF(ISNUMBER(SEARCH("não seguiu FIFO",I189)),"NÃO CONFORME",IF(ISNUMBER(SEARCH("FIFO automático",I189)),"CONFORME","VERIFICAR")),"")</x:f>
      </x:c>
    </x:row>
    <x:row r="190">
      <x:c r="A190" s="52"/>
      <x:c r="G190" s="53"/>
      <x:c r="K190" s="53" t="n">
        <x:f>IF(B190="ENTRADA",G190,0)</x:f>
        <x:v>0</x:v>
      </x:c>
      <x:c r="L190" s="53" t="n">
        <x:f>IF(OR(B190="CONSUMO",B190="SAÍDA"),G190,0)</x:f>
        <x:v>0</x:v>
      </x:c>
      <x:c r="M190" s="53" t="n">
        <x:f>IF(C190="Farinheira",'Regras e Listas'!$D$4,IF(C190="Colorífico",'Regras e Listas'!$D$5,IF(C190="Farinha para o Flotamil",'Regras e Listas'!$D$6,0)))</x:f>
        <x:v>0</x:v>
      </x:c>
      <x:c r="N190" s="53" t="n">
        <x:f>K190*M190</x:f>
        <x:v>0</x:v>
      </x:c>
      <x:c r="O190" s="53" t="n">
        <x:f>L190*M190</x:f>
        <x:v>0</x:v>
      </x:c>
      <x:c r="P190" t="str">
        <x:f>IF(OR(B190="CONSUMO",B190="SAÍDA"),IF(ISNUMBER(SEARCH("não seguiu FIFO",I190)),"NÃO CONFORME",IF(ISNUMBER(SEARCH("FIFO automático",I190)),"CONFORME","VERIFICAR")),"")</x:f>
      </x:c>
    </x:row>
    <x:row r="191">
      <x:c r="A191" s="52"/>
      <x:c r="G191" s="53"/>
      <x:c r="K191" s="53" t="n">
        <x:f>IF(B191="ENTRADA",G191,0)</x:f>
        <x:v>0</x:v>
      </x:c>
      <x:c r="L191" s="53" t="n">
        <x:f>IF(OR(B191="CONSUMO",B191="SAÍDA"),G191,0)</x:f>
        <x:v>0</x:v>
      </x:c>
      <x:c r="M191" s="53" t="n">
        <x:f>IF(C191="Farinheira",'Regras e Listas'!$D$4,IF(C191="Colorífico",'Regras e Listas'!$D$5,IF(C191="Farinha para o Flotamil",'Regras e Listas'!$D$6,0)))</x:f>
        <x:v>0</x:v>
      </x:c>
      <x:c r="N191" s="53" t="n">
        <x:f>K191*M191</x:f>
        <x:v>0</x:v>
      </x:c>
      <x:c r="O191" s="53" t="n">
        <x:f>L191*M191</x:f>
        <x:v>0</x:v>
      </x:c>
      <x:c r="P191" t="str">
        <x:f>IF(OR(B191="CONSUMO",B191="SAÍDA"),IF(ISNUMBER(SEARCH("não seguiu FIFO",I191)),"NÃO CONFORME",IF(ISNUMBER(SEARCH("FIFO automático",I191)),"CONFORME","VERIFICAR")),"")</x:f>
      </x:c>
    </x:row>
    <x:row r="192">
      <x:c r="A192" s="52"/>
      <x:c r="G192" s="53"/>
      <x:c r="K192" s="53" t="n">
        <x:f>IF(B192="ENTRADA",G192,0)</x:f>
        <x:v>0</x:v>
      </x:c>
      <x:c r="L192" s="53" t="n">
        <x:f>IF(OR(B192="CONSUMO",B192="SAÍDA"),G192,0)</x:f>
        <x:v>0</x:v>
      </x:c>
      <x:c r="M192" s="53" t="n">
        <x:f>IF(C192="Farinheira",'Regras e Listas'!$D$4,IF(C192="Colorífico",'Regras e Listas'!$D$5,IF(C192="Farinha para o Flotamil",'Regras e Listas'!$D$6,0)))</x:f>
        <x:v>0</x:v>
      </x:c>
      <x:c r="N192" s="53" t="n">
        <x:f>K192*M192</x:f>
        <x:v>0</x:v>
      </x:c>
      <x:c r="O192" s="53" t="n">
        <x:f>L192*M192</x:f>
        <x:v>0</x:v>
      </x:c>
      <x:c r="P192" t="str">
        <x:f>IF(OR(B192="CONSUMO",B192="SAÍDA"),IF(ISNUMBER(SEARCH("não seguiu FIFO",I192)),"NÃO CONFORME",IF(ISNUMBER(SEARCH("FIFO automático",I192)),"CONFORME","VERIFICAR")),"")</x:f>
      </x:c>
    </x:row>
    <x:row r="193">
      <x:c r="A193" s="52"/>
      <x:c r="G193" s="53"/>
      <x:c r="K193" s="53" t="n">
        <x:f>IF(B193="ENTRADA",G193,0)</x:f>
        <x:v>0</x:v>
      </x:c>
      <x:c r="L193" s="53" t="n">
        <x:f>IF(OR(B193="CONSUMO",B193="SAÍDA"),G193,0)</x:f>
        <x:v>0</x:v>
      </x:c>
      <x:c r="M193" s="53" t="n">
        <x:f>IF(C193="Farinheira",'Regras e Listas'!$D$4,IF(C193="Colorífico",'Regras e Listas'!$D$5,IF(C193="Farinha para o Flotamil",'Regras e Listas'!$D$6,0)))</x:f>
        <x:v>0</x:v>
      </x:c>
      <x:c r="N193" s="53" t="n">
        <x:f>K193*M193</x:f>
        <x:v>0</x:v>
      </x:c>
      <x:c r="O193" s="53" t="n">
        <x:f>L193*M193</x:f>
        <x:v>0</x:v>
      </x:c>
      <x:c r="P193" t="str">
        <x:f>IF(OR(B193="CONSUMO",B193="SAÍDA"),IF(ISNUMBER(SEARCH("não seguiu FIFO",I193)),"NÃO CONFORME",IF(ISNUMBER(SEARCH("FIFO automático",I193)),"CONFORME","VERIFICAR")),"")</x:f>
      </x:c>
    </x:row>
    <x:row r="194">
      <x:c r="A194" s="52"/>
      <x:c r="G194" s="53"/>
      <x:c r="K194" s="53" t="n">
        <x:f>IF(B194="ENTRADA",G194,0)</x:f>
        <x:v>0</x:v>
      </x:c>
      <x:c r="L194" s="53" t="n">
        <x:f>IF(OR(B194="CONSUMO",B194="SAÍDA"),G194,0)</x:f>
        <x:v>0</x:v>
      </x:c>
      <x:c r="M194" s="53" t="n">
        <x:f>IF(C194="Farinheira",'Regras e Listas'!$D$4,IF(C194="Colorífico",'Regras e Listas'!$D$5,IF(C194="Farinha para o Flotamil",'Regras e Listas'!$D$6,0)))</x:f>
        <x:v>0</x:v>
      </x:c>
      <x:c r="N194" s="53" t="n">
        <x:f>K194*M194</x:f>
        <x:v>0</x:v>
      </x:c>
      <x:c r="O194" s="53" t="n">
        <x:f>L194*M194</x:f>
        <x:v>0</x:v>
      </x:c>
      <x:c r="P194" t="str">
        <x:f>IF(OR(B194="CONSUMO",B194="SAÍDA"),IF(ISNUMBER(SEARCH("não seguiu FIFO",I194)),"NÃO CONFORME",IF(ISNUMBER(SEARCH("FIFO automático",I194)),"CONFORME","VERIFICAR")),"")</x:f>
      </x:c>
    </x:row>
    <x:row r="195">
      <x:c r="A195" s="52"/>
      <x:c r="G195" s="53"/>
      <x:c r="K195" s="53" t="n">
        <x:f>IF(B195="ENTRADA",G195,0)</x:f>
        <x:v>0</x:v>
      </x:c>
      <x:c r="L195" s="53" t="n">
        <x:f>IF(OR(B195="CONSUMO",B195="SAÍDA"),G195,0)</x:f>
        <x:v>0</x:v>
      </x:c>
      <x:c r="M195" s="53" t="n">
        <x:f>IF(C195="Farinheira",'Regras e Listas'!$D$4,IF(C195="Colorífico",'Regras e Listas'!$D$5,IF(C195="Farinha para o Flotamil",'Regras e Listas'!$D$6,0)))</x:f>
        <x:v>0</x:v>
      </x:c>
      <x:c r="N195" s="53" t="n">
        <x:f>K195*M195</x:f>
        <x:v>0</x:v>
      </x:c>
      <x:c r="O195" s="53" t="n">
        <x:f>L195*M195</x:f>
        <x:v>0</x:v>
      </x:c>
      <x:c r="P195" t="str">
        <x:f>IF(OR(B195="CONSUMO",B195="SAÍDA"),IF(ISNUMBER(SEARCH("não seguiu FIFO",I195)),"NÃO CONFORME",IF(ISNUMBER(SEARCH("FIFO automático",I195)),"CONFORME","VERIFICAR")),"")</x:f>
      </x:c>
    </x:row>
    <x:row r="196">
      <x:c r="A196" s="52"/>
      <x:c r="G196" s="53"/>
      <x:c r="K196" s="53" t="n">
        <x:f>IF(B196="ENTRADA",G196,0)</x:f>
        <x:v>0</x:v>
      </x:c>
      <x:c r="L196" s="53" t="n">
        <x:f>IF(OR(B196="CONSUMO",B196="SAÍDA"),G196,0)</x:f>
        <x:v>0</x:v>
      </x:c>
      <x:c r="M196" s="53" t="n">
        <x:f>IF(C196="Farinheira",'Regras e Listas'!$D$4,IF(C196="Colorífico",'Regras e Listas'!$D$5,IF(C196="Farinha para o Flotamil",'Regras e Listas'!$D$6,0)))</x:f>
        <x:v>0</x:v>
      </x:c>
      <x:c r="N196" s="53" t="n">
        <x:f>K196*M196</x:f>
        <x:v>0</x:v>
      </x:c>
      <x:c r="O196" s="53" t="n">
        <x:f>L196*M196</x:f>
        <x:v>0</x:v>
      </x:c>
      <x:c r="P196" t="str">
        <x:f>IF(OR(B196="CONSUMO",B196="SAÍDA"),IF(ISNUMBER(SEARCH("não seguiu FIFO",I196)),"NÃO CONFORME",IF(ISNUMBER(SEARCH("FIFO automático",I196)),"CONFORME","VERIFICAR")),"")</x:f>
      </x:c>
    </x:row>
    <x:row r="197">
      <x:c r="A197" s="52"/>
      <x:c r="G197" s="53"/>
      <x:c r="K197" s="53" t="n">
        <x:f>IF(B197="ENTRADA",G197,0)</x:f>
        <x:v>0</x:v>
      </x:c>
      <x:c r="L197" s="53" t="n">
        <x:f>IF(OR(B197="CONSUMO",B197="SAÍDA"),G197,0)</x:f>
        <x:v>0</x:v>
      </x:c>
      <x:c r="M197" s="53" t="n">
        <x:f>IF(C197="Farinheira",'Regras e Listas'!$D$4,IF(C197="Colorífico",'Regras e Listas'!$D$5,IF(C197="Farinha para o Flotamil",'Regras e Listas'!$D$6,0)))</x:f>
        <x:v>0</x:v>
      </x:c>
      <x:c r="N197" s="53" t="n">
        <x:f>K197*M197</x:f>
        <x:v>0</x:v>
      </x:c>
      <x:c r="O197" s="53" t="n">
        <x:f>L197*M197</x:f>
        <x:v>0</x:v>
      </x:c>
      <x:c r="P197" t="str">
        <x:f>IF(OR(B197="CONSUMO",B197="SAÍDA"),IF(ISNUMBER(SEARCH("não seguiu FIFO",I197)),"NÃO CONFORME",IF(ISNUMBER(SEARCH("FIFO automático",I197)),"CONFORME","VERIFICAR")),"")</x:f>
      </x:c>
    </x:row>
    <x:row r="198">
      <x:c r="A198" s="52"/>
      <x:c r="G198" s="53"/>
      <x:c r="K198" s="53" t="n">
        <x:f>IF(B198="ENTRADA",G198,0)</x:f>
        <x:v>0</x:v>
      </x:c>
      <x:c r="L198" s="53" t="n">
        <x:f>IF(OR(B198="CONSUMO",B198="SAÍDA"),G198,0)</x:f>
        <x:v>0</x:v>
      </x:c>
      <x:c r="M198" s="53" t="n">
        <x:f>IF(C198="Farinheira",'Regras e Listas'!$D$4,IF(C198="Colorífico",'Regras e Listas'!$D$5,IF(C198="Farinha para o Flotamil",'Regras e Listas'!$D$6,0)))</x:f>
        <x:v>0</x:v>
      </x:c>
      <x:c r="N198" s="53" t="n">
        <x:f>K198*M198</x:f>
        <x:v>0</x:v>
      </x:c>
      <x:c r="O198" s="53" t="n">
        <x:f>L198*M198</x:f>
        <x:v>0</x:v>
      </x:c>
      <x:c r="P198" t="str">
        <x:f>IF(OR(B198="CONSUMO",B198="SAÍDA"),IF(ISNUMBER(SEARCH("não seguiu FIFO",I198)),"NÃO CONFORME",IF(ISNUMBER(SEARCH("FIFO automático",I198)),"CONFORME","VERIFICAR")),"")</x:f>
      </x:c>
    </x:row>
    <x:row r="199">
      <x:c r="A199" s="52"/>
      <x:c r="G199" s="53"/>
      <x:c r="K199" s="53" t="n">
        <x:f>IF(B199="ENTRADA",G199,0)</x:f>
        <x:v>0</x:v>
      </x:c>
      <x:c r="L199" s="53" t="n">
        <x:f>IF(OR(B199="CONSUMO",B199="SAÍDA"),G199,0)</x:f>
        <x:v>0</x:v>
      </x:c>
      <x:c r="M199" s="53" t="n">
        <x:f>IF(C199="Farinheira",'Regras e Listas'!$D$4,IF(C199="Colorífico",'Regras e Listas'!$D$5,IF(C199="Farinha para o Flotamil",'Regras e Listas'!$D$6,0)))</x:f>
        <x:v>0</x:v>
      </x:c>
      <x:c r="N199" s="53" t="n">
        <x:f>K199*M199</x:f>
        <x:v>0</x:v>
      </x:c>
      <x:c r="O199" s="53" t="n">
        <x:f>L199*M199</x:f>
        <x:v>0</x:v>
      </x:c>
      <x:c r="P199" t="str">
        <x:f>IF(OR(B199="CONSUMO",B199="SAÍDA"),IF(ISNUMBER(SEARCH("não seguiu FIFO",I199)),"NÃO CONFORME",IF(ISNUMBER(SEARCH("FIFO automático",I199)),"CONFORME","VERIFICAR")),"")</x:f>
      </x:c>
    </x:row>
    <x:row r="200">
      <x:c r="A200" s="52"/>
      <x:c r="G200" s="53"/>
      <x:c r="K200" s="53" t="n">
        <x:f>IF(B200="ENTRADA",G200,0)</x:f>
        <x:v>0</x:v>
      </x:c>
      <x:c r="L200" s="53" t="n">
        <x:f>IF(OR(B200="CONSUMO",B200="SAÍDA"),G200,0)</x:f>
        <x:v>0</x:v>
      </x:c>
      <x:c r="M200" s="53" t="n">
        <x:f>IF(C200="Farinheira",'Regras e Listas'!$D$4,IF(C200="Colorífico",'Regras e Listas'!$D$5,IF(C200="Farinha para o Flotamil",'Regras e Listas'!$D$6,0)))</x:f>
        <x:v>0</x:v>
      </x:c>
      <x:c r="N200" s="53" t="n">
        <x:f>K200*M200</x:f>
        <x:v>0</x:v>
      </x:c>
      <x:c r="O200" s="53" t="n">
        <x:f>L200*M200</x:f>
        <x:v>0</x:v>
      </x:c>
      <x:c r="P200" t="str">
        <x:f>IF(OR(B200="CONSUMO",B200="SAÍDA"),IF(ISNUMBER(SEARCH("não seguiu FIFO",I200)),"NÃO CONFORME",IF(ISNUMBER(SEARCH("FIFO automático",I200)),"CONFORME","VERIFICAR")),"")</x:f>
      </x:c>
    </x:row>
    <x:row r="201">
      <x:c r="A201" s="52"/>
      <x:c r="G201" s="53"/>
      <x:c r="K201" s="53" t="n">
        <x:f>IF(B201="ENTRADA",G201,0)</x:f>
        <x:v>0</x:v>
      </x:c>
      <x:c r="L201" s="53" t="n">
        <x:f>IF(OR(B201="CONSUMO",B201="SAÍDA"),G201,0)</x:f>
        <x:v>0</x:v>
      </x:c>
      <x:c r="M201" s="53" t="n">
        <x:f>IF(C201="Farinheira",'Regras e Listas'!$D$4,IF(C201="Colorífico",'Regras e Listas'!$D$5,IF(C201="Farinha para o Flotamil",'Regras e Listas'!$D$6,0)))</x:f>
        <x:v>0</x:v>
      </x:c>
      <x:c r="N201" s="53" t="n">
        <x:f>K201*M201</x:f>
        <x:v>0</x:v>
      </x:c>
      <x:c r="O201" s="53" t="n">
        <x:f>L201*M201</x:f>
        <x:v>0</x:v>
      </x:c>
      <x:c r="P201" t="str">
        <x:f>IF(OR(B201="CONSUMO",B201="SAÍDA"),IF(ISNUMBER(SEARCH("não seguiu FIFO",I201)),"NÃO CONFORME",IF(ISNUMBER(SEARCH("FIFO automático",I201)),"CONFORME","VERIFICAR")),"")</x:f>
      </x:c>
    </x:row>
    <x:row r="202">
      <x:c r="A202" s="52"/>
      <x:c r="G202" s="53"/>
      <x:c r="K202" s="53" t="n">
        <x:f>IF(B202="ENTRADA",G202,0)</x:f>
        <x:v>0</x:v>
      </x:c>
      <x:c r="L202" s="53" t="n">
        <x:f>IF(OR(B202="CONSUMO",B202="SAÍDA"),G202,0)</x:f>
        <x:v>0</x:v>
      </x:c>
      <x:c r="M202" s="53" t="n">
        <x:f>IF(C202="Farinheira",'Regras e Listas'!$D$4,IF(C202="Colorífico",'Regras e Listas'!$D$5,IF(C202="Farinha para o Flotamil",'Regras e Listas'!$D$6,0)))</x:f>
        <x:v>0</x:v>
      </x:c>
      <x:c r="N202" s="53" t="n">
        <x:f>K202*M202</x:f>
        <x:v>0</x:v>
      </x:c>
      <x:c r="O202" s="53" t="n">
        <x:f>L202*M202</x:f>
        <x:v>0</x:v>
      </x:c>
      <x:c r="P202" t="str">
        <x:f>IF(OR(B202="CONSUMO",B202="SAÍDA"),IF(ISNUMBER(SEARCH("não seguiu FIFO",I202)),"NÃO CONFORME",IF(ISNUMBER(SEARCH("FIFO automático",I202)),"CONFORME","VERIFICAR")),"")</x:f>
      </x:c>
    </x:row>
    <x:row r="203">
      <x:c r="A203" s="52"/>
      <x:c r="G203" s="53"/>
      <x:c r="K203" s="53" t="n">
        <x:f>IF(B203="ENTRADA",G203,0)</x:f>
        <x:v>0</x:v>
      </x:c>
      <x:c r="L203" s="53" t="n">
        <x:f>IF(OR(B203="CONSUMO",B203="SAÍDA"),G203,0)</x:f>
        <x:v>0</x:v>
      </x:c>
      <x:c r="M203" s="53" t="n">
        <x:f>IF(C203="Farinheira",'Regras e Listas'!$D$4,IF(C203="Colorífico",'Regras e Listas'!$D$5,IF(C203="Farinha para o Flotamil",'Regras e Listas'!$D$6,0)))</x:f>
        <x:v>0</x:v>
      </x:c>
      <x:c r="N203" s="53" t="n">
        <x:f>K203*M203</x:f>
        <x:v>0</x:v>
      </x:c>
      <x:c r="O203" s="53" t="n">
        <x:f>L203*M203</x:f>
        <x:v>0</x:v>
      </x:c>
      <x:c r="P203" t="str">
        <x:f>IF(OR(B203="CONSUMO",B203="SAÍDA"),IF(ISNUMBER(SEARCH("não seguiu FIFO",I203)),"NÃO CONFORME",IF(ISNUMBER(SEARCH("FIFO automático",I203)),"CONFORME","VERIFICAR")),"")</x:f>
      </x:c>
    </x:row>
    <x:row r="204">
      <x:c r="A204" s="52"/>
      <x:c r="G204" s="53"/>
      <x:c r="K204" s="53" t="n">
        <x:f>IF(B204="ENTRADA",G204,0)</x:f>
        <x:v>0</x:v>
      </x:c>
      <x:c r="L204" s="53" t="n">
        <x:f>IF(OR(B204="CONSUMO",B204="SAÍDA"),G204,0)</x:f>
        <x:v>0</x:v>
      </x:c>
      <x:c r="M204" s="53" t="n">
        <x:f>IF(C204="Farinheira",'Regras e Listas'!$D$4,IF(C204="Colorífico",'Regras e Listas'!$D$5,IF(C204="Farinha para o Flotamil",'Regras e Listas'!$D$6,0)))</x:f>
        <x:v>0</x:v>
      </x:c>
      <x:c r="N204" s="53" t="n">
        <x:f>K204*M204</x:f>
        <x:v>0</x:v>
      </x:c>
      <x:c r="O204" s="53" t="n">
        <x:f>L204*M204</x:f>
        <x:v>0</x:v>
      </x:c>
      <x:c r="P204" t="str">
        <x:f>IF(OR(B204="CONSUMO",B204="SAÍDA"),IF(ISNUMBER(SEARCH("não seguiu FIFO",I204)),"NÃO CONFORME",IF(ISNUMBER(SEARCH("FIFO automático",I204)),"CONFORME","VERIFICAR")),"")</x:f>
      </x:c>
    </x:row>
    <x:row r="205">
      <x:c r="A205" s="52"/>
      <x:c r="G205" s="53"/>
      <x:c r="K205" s="53" t="n">
        <x:f>IF(B205="ENTRADA",G205,0)</x:f>
        <x:v>0</x:v>
      </x:c>
      <x:c r="L205" s="53" t="n">
        <x:f>IF(OR(B205="CONSUMO",B205="SAÍDA"),G205,0)</x:f>
        <x:v>0</x:v>
      </x:c>
      <x:c r="M205" s="53" t="n">
        <x:f>IF(C205="Farinheira",'Regras e Listas'!$D$4,IF(C205="Colorífico",'Regras e Listas'!$D$5,IF(C205="Farinha para o Flotamil",'Regras e Listas'!$D$6,0)))</x:f>
        <x:v>0</x:v>
      </x:c>
      <x:c r="N205" s="53" t="n">
        <x:f>K205*M205</x:f>
        <x:v>0</x:v>
      </x:c>
      <x:c r="O205" s="53" t="n">
        <x:f>L205*M205</x:f>
        <x:v>0</x:v>
      </x:c>
      <x:c r="P205" t="str">
        <x:f>IF(OR(B205="CONSUMO",B205="SAÍDA"),IF(ISNUMBER(SEARCH("não seguiu FIFO",I205)),"NÃO CONFORME",IF(ISNUMBER(SEARCH("FIFO automático",I205)),"CONFORME","VERIFICAR")),"")</x:f>
      </x:c>
    </x:row>
    <x:row r="206">
      <x:c r="A206" s="52"/>
      <x:c r="G206" s="53"/>
      <x:c r="K206" s="53" t="n">
        <x:f>IF(B206="ENTRADA",G206,0)</x:f>
        <x:v>0</x:v>
      </x:c>
      <x:c r="L206" s="53" t="n">
        <x:f>IF(OR(B206="CONSUMO",B206="SAÍDA"),G206,0)</x:f>
        <x:v>0</x:v>
      </x:c>
      <x:c r="M206" s="53" t="n">
        <x:f>IF(C206="Farinheira",'Regras e Listas'!$D$4,IF(C206="Colorífico",'Regras e Listas'!$D$5,IF(C206="Farinha para o Flotamil",'Regras e Listas'!$D$6,0)))</x:f>
        <x:v>0</x:v>
      </x:c>
      <x:c r="N206" s="53" t="n">
        <x:f>K206*M206</x:f>
        <x:v>0</x:v>
      </x:c>
      <x:c r="O206" s="53" t="n">
        <x:f>L206*M206</x:f>
        <x:v>0</x:v>
      </x:c>
      <x:c r="P206" t="str">
        <x:f>IF(OR(B206="CONSUMO",B206="SAÍDA"),IF(ISNUMBER(SEARCH("não seguiu FIFO",I206)),"NÃO CONFORME",IF(ISNUMBER(SEARCH("FIFO automático",I206)),"CONFORME","VERIFICAR")),"")</x:f>
      </x:c>
    </x:row>
    <x:row r="207">
      <x:c r="A207" s="52"/>
      <x:c r="G207" s="53"/>
      <x:c r="K207" s="53" t="n">
        <x:f>IF(B207="ENTRADA",G207,0)</x:f>
        <x:v>0</x:v>
      </x:c>
      <x:c r="L207" s="53" t="n">
        <x:f>IF(OR(B207="CONSUMO",B207="SAÍDA"),G207,0)</x:f>
        <x:v>0</x:v>
      </x:c>
      <x:c r="M207" s="53" t="n">
        <x:f>IF(C207="Farinheira",'Regras e Listas'!$D$4,IF(C207="Colorífico",'Regras e Listas'!$D$5,IF(C207="Farinha para o Flotamil",'Regras e Listas'!$D$6,0)))</x:f>
        <x:v>0</x:v>
      </x:c>
      <x:c r="N207" s="53" t="n">
        <x:f>K207*M207</x:f>
        <x:v>0</x:v>
      </x:c>
      <x:c r="O207" s="53" t="n">
        <x:f>L207*M207</x:f>
        <x:v>0</x:v>
      </x:c>
      <x:c r="P207" t="str">
        <x:f>IF(OR(B207="CONSUMO",B207="SAÍDA"),IF(ISNUMBER(SEARCH("não seguiu FIFO",I207)),"NÃO CONFORME",IF(ISNUMBER(SEARCH("FIFO automático",I207)),"CONFORME","VERIFICAR")),"")</x:f>
      </x:c>
    </x:row>
    <x:row r="208">
      <x:c r="A208" s="52"/>
      <x:c r="G208" s="53"/>
      <x:c r="K208" s="53" t="n">
        <x:f>IF(B208="ENTRADA",G208,0)</x:f>
        <x:v>0</x:v>
      </x:c>
      <x:c r="L208" s="53" t="n">
        <x:f>IF(OR(B208="CONSUMO",B208="SAÍDA"),G208,0)</x:f>
        <x:v>0</x:v>
      </x:c>
      <x:c r="M208" s="53" t="n">
        <x:f>IF(C208="Farinheira",'Regras e Listas'!$D$4,IF(C208="Colorífico",'Regras e Listas'!$D$5,IF(C208="Farinha para o Flotamil",'Regras e Listas'!$D$6,0)))</x:f>
        <x:v>0</x:v>
      </x:c>
      <x:c r="N208" s="53" t="n">
        <x:f>K208*M208</x:f>
        <x:v>0</x:v>
      </x:c>
      <x:c r="O208" s="53" t="n">
        <x:f>L208*M208</x:f>
        <x:v>0</x:v>
      </x:c>
      <x:c r="P208" t="str">
        <x:f>IF(OR(B208="CONSUMO",B208="SAÍDA"),IF(ISNUMBER(SEARCH("não seguiu FIFO",I208)),"NÃO CONFORME",IF(ISNUMBER(SEARCH("FIFO automático",I208)),"CONFORME","VERIFICAR")),"")</x:f>
      </x:c>
    </x:row>
    <x:row r="209">
      <x:c r="A209" s="52"/>
      <x:c r="G209" s="53"/>
      <x:c r="K209" s="53" t="n">
        <x:f>IF(B209="ENTRADA",G209,0)</x:f>
        <x:v>0</x:v>
      </x:c>
      <x:c r="L209" s="53" t="n">
        <x:f>IF(OR(B209="CONSUMO",B209="SAÍDA"),G209,0)</x:f>
        <x:v>0</x:v>
      </x:c>
      <x:c r="M209" s="53" t="n">
        <x:f>IF(C209="Farinheira",'Regras e Listas'!$D$4,IF(C209="Colorífico",'Regras e Listas'!$D$5,IF(C209="Farinha para o Flotamil",'Regras e Listas'!$D$6,0)))</x:f>
        <x:v>0</x:v>
      </x:c>
      <x:c r="N209" s="53" t="n">
        <x:f>K209*M209</x:f>
        <x:v>0</x:v>
      </x:c>
      <x:c r="O209" s="53" t="n">
        <x:f>L209*M209</x:f>
        <x:v>0</x:v>
      </x:c>
      <x:c r="P209" t="str">
        <x:f>IF(OR(B209="CONSUMO",B209="SAÍDA"),IF(ISNUMBER(SEARCH("não seguiu FIFO",I209)),"NÃO CONFORME",IF(ISNUMBER(SEARCH("FIFO automático",I209)),"CONFORME","VERIFICAR")),"")</x:f>
      </x:c>
    </x:row>
    <x:row r="210">
      <x:c r="A210" s="52"/>
      <x:c r="G210" s="53"/>
      <x:c r="K210" s="53" t="n">
        <x:f>IF(B210="ENTRADA",G210,0)</x:f>
        <x:v>0</x:v>
      </x:c>
      <x:c r="L210" s="53" t="n">
        <x:f>IF(OR(B210="CONSUMO",B210="SAÍDA"),G210,0)</x:f>
        <x:v>0</x:v>
      </x:c>
      <x:c r="M210" s="53" t="n">
        <x:f>IF(C210="Farinheira",'Regras e Listas'!$D$4,IF(C210="Colorífico",'Regras e Listas'!$D$5,IF(C210="Farinha para o Flotamil",'Regras e Listas'!$D$6,0)))</x:f>
        <x:v>0</x:v>
      </x:c>
      <x:c r="N210" s="53" t="n">
        <x:f>K210*M210</x:f>
        <x:v>0</x:v>
      </x:c>
      <x:c r="O210" s="53" t="n">
        <x:f>L210*M210</x:f>
        <x:v>0</x:v>
      </x:c>
      <x:c r="P210" t="str">
        <x:f>IF(OR(B210="CONSUMO",B210="SAÍDA"),IF(ISNUMBER(SEARCH("não seguiu FIFO",I210)),"NÃO CONFORME",IF(ISNUMBER(SEARCH("FIFO automático",I210)),"CONFORME","VERIFICAR")),"")</x:f>
      </x:c>
    </x:row>
    <x:row r="211">
      <x:c r="A211" s="52"/>
      <x:c r="G211" s="53"/>
      <x:c r="K211" s="53" t="n">
        <x:f>IF(B211="ENTRADA",G211,0)</x:f>
        <x:v>0</x:v>
      </x:c>
      <x:c r="L211" s="53" t="n">
        <x:f>IF(OR(B211="CONSUMO",B211="SAÍDA"),G211,0)</x:f>
        <x:v>0</x:v>
      </x:c>
      <x:c r="M211" s="53" t="n">
        <x:f>IF(C211="Farinheira",'Regras e Listas'!$D$4,IF(C211="Colorífico",'Regras e Listas'!$D$5,IF(C211="Farinha para o Flotamil",'Regras e Listas'!$D$6,0)))</x:f>
        <x:v>0</x:v>
      </x:c>
      <x:c r="N211" s="53" t="n">
        <x:f>K211*M211</x:f>
        <x:v>0</x:v>
      </x:c>
      <x:c r="O211" s="53" t="n">
        <x:f>L211*M211</x:f>
        <x:v>0</x:v>
      </x:c>
      <x:c r="P211" t="str">
        <x:f>IF(OR(B211="CONSUMO",B211="SAÍDA"),IF(ISNUMBER(SEARCH("não seguiu FIFO",I211)),"NÃO CONFORME",IF(ISNUMBER(SEARCH("FIFO automático",I211)),"CONFORME","VERIFICAR")),"")</x:f>
      </x:c>
    </x:row>
    <x:row r="212">
      <x:c r="A212" s="52"/>
      <x:c r="G212" s="53"/>
      <x:c r="K212" s="53" t="n">
        <x:f>IF(B212="ENTRADA",G212,0)</x:f>
        <x:v>0</x:v>
      </x:c>
      <x:c r="L212" s="53" t="n">
        <x:f>IF(OR(B212="CONSUMO",B212="SAÍDA"),G212,0)</x:f>
        <x:v>0</x:v>
      </x:c>
      <x:c r="M212" s="53" t="n">
        <x:f>IF(C212="Farinheira",'Regras e Listas'!$D$4,IF(C212="Colorífico",'Regras e Listas'!$D$5,IF(C212="Farinha para o Flotamil",'Regras e Listas'!$D$6,0)))</x:f>
        <x:v>0</x:v>
      </x:c>
      <x:c r="N212" s="53" t="n">
        <x:f>K212*M212</x:f>
        <x:v>0</x:v>
      </x:c>
      <x:c r="O212" s="53" t="n">
        <x:f>L212*M212</x:f>
        <x:v>0</x:v>
      </x:c>
      <x:c r="P212" t="str">
        <x:f>IF(OR(B212="CONSUMO",B212="SAÍDA"),IF(ISNUMBER(SEARCH("não seguiu FIFO",I212)),"NÃO CONFORME",IF(ISNUMBER(SEARCH("FIFO automático",I212)),"CONFORME","VERIFICAR")),"")</x:f>
      </x:c>
    </x:row>
    <x:row r="213">
      <x:c r="A213" s="52"/>
      <x:c r="G213" s="53"/>
      <x:c r="K213" s="53" t="n">
        <x:f>IF(B213="ENTRADA",G213,0)</x:f>
        <x:v>0</x:v>
      </x:c>
      <x:c r="L213" s="53" t="n">
        <x:f>IF(OR(B213="CONSUMO",B213="SAÍDA"),G213,0)</x:f>
        <x:v>0</x:v>
      </x:c>
      <x:c r="M213" s="53" t="n">
        <x:f>IF(C213="Farinheira",'Regras e Listas'!$D$4,IF(C213="Colorífico",'Regras e Listas'!$D$5,IF(C213="Farinha para o Flotamil",'Regras e Listas'!$D$6,0)))</x:f>
        <x:v>0</x:v>
      </x:c>
      <x:c r="N213" s="53" t="n">
        <x:f>K213*M213</x:f>
        <x:v>0</x:v>
      </x:c>
      <x:c r="O213" s="53" t="n">
        <x:f>L213*M213</x:f>
        <x:v>0</x:v>
      </x:c>
      <x:c r="P213" t="str">
        <x:f>IF(OR(B213="CONSUMO",B213="SAÍDA"),IF(ISNUMBER(SEARCH("não seguiu FIFO",I213)),"NÃO CONFORME",IF(ISNUMBER(SEARCH("FIFO automático",I213)),"CONFORME","VERIFICAR")),"")</x:f>
      </x:c>
    </x:row>
    <x:row r="214">
      <x:c r="A214" s="52"/>
      <x:c r="G214" s="53"/>
      <x:c r="K214" s="53" t="n">
        <x:f>IF(B214="ENTRADA",G214,0)</x:f>
        <x:v>0</x:v>
      </x:c>
      <x:c r="L214" s="53" t="n">
        <x:f>IF(OR(B214="CONSUMO",B214="SAÍDA"),G214,0)</x:f>
        <x:v>0</x:v>
      </x:c>
      <x:c r="M214" s="53" t="n">
        <x:f>IF(C214="Farinheira",'Regras e Listas'!$D$4,IF(C214="Colorífico",'Regras e Listas'!$D$5,IF(C214="Farinha para o Flotamil",'Regras e Listas'!$D$6,0)))</x:f>
        <x:v>0</x:v>
      </x:c>
      <x:c r="N214" s="53" t="n">
        <x:f>K214*M214</x:f>
        <x:v>0</x:v>
      </x:c>
      <x:c r="O214" s="53" t="n">
        <x:f>L214*M214</x:f>
        <x:v>0</x:v>
      </x:c>
      <x:c r="P214" t="str">
        <x:f>IF(OR(B214="CONSUMO",B214="SAÍDA"),IF(ISNUMBER(SEARCH("não seguiu FIFO",I214)),"NÃO CONFORME",IF(ISNUMBER(SEARCH("FIFO automático",I214)),"CONFORME","VERIFICAR")),"")</x:f>
      </x:c>
    </x:row>
    <x:row r="215">
      <x:c r="A215" s="52"/>
      <x:c r="G215" s="53"/>
      <x:c r="K215" s="53" t="n">
        <x:f>IF(B215="ENTRADA",G215,0)</x:f>
        <x:v>0</x:v>
      </x:c>
      <x:c r="L215" s="53" t="n">
        <x:f>IF(OR(B215="CONSUMO",B215="SAÍDA"),G215,0)</x:f>
        <x:v>0</x:v>
      </x:c>
      <x:c r="M215" s="53" t="n">
        <x:f>IF(C215="Farinheira",'Regras e Listas'!$D$4,IF(C215="Colorífico",'Regras e Listas'!$D$5,IF(C215="Farinha para o Flotamil",'Regras e Listas'!$D$6,0)))</x:f>
        <x:v>0</x:v>
      </x:c>
      <x:c r="N215" s="53" t="n">
        <x:f>K215*M215</x:f>
        <x:v>0</x:v>
      </x:c>
      <x:c r="O215" s="53" t="n">
        <x:f>L215*M215</x:f>
        <x:v>0</x:v>
      </x:c>
      <x:c r="P215" t="str">
        <x:f>IF(OR(B215="CONSUMO",B215="SAÍDA"),IF(ISNUMBER(SEARCH("não seguiu FIFO",I215)),"NÃO CONFORME",IF(ISNUMBER(SEARCH("FIFO automático",I215)),"CONFORME","VERIFICAR")),"")</x:f>
      </x:c>
    </x:row>
    <x:row r="216">
      <x:c r="A216" s="52"/>
      <x:c r="G216" s="53"/>
      <x:c r="K216" s="53" t="n">
        <x:f>IF(B216="ENTRADA",G216,0)</x:f>
        <x:v>0</x:v>
      </x:c>
      <x:c r="L216" s="53" t="n">
        <x:f>IF(OR(B216="CONSUMO",B216="SAÍDA"),G216,0)</x:f>
        <x:v>0</x:v>
      </x:c>
      <x:c r="M216" s="53" t="n">
        <x:f>IF(C216="Farinheira",'Regras e Listas'!$D$4,IF(C216="Colorífico",'Regras e Listas'!$D$5,IF(C216="Farinha para o Flotamil",'Regras e Listas'!$D$6,0)))</x:f>
        <x:v>0</x:v>
      </x:c>
      <x:c r="N216" s="53" t="n">
        <x:f>K216*M216</x:f>
        <x:v>0</x:v>
      </x:c>
      <x:c r="O216" s="53" t="n">
        <x:f>L216*M216</x:f>
        <x:v>0</x:v>
      </x:c>
      <x:c r="P216" t="str">
        <x:f>IF(OR(B216="CONSUMO",B216="SAÍDA"),IF(ISNUMBER(SEARCH("não seguiu FIFO",I216)),"NÃO CONFORME",IF(ISNUMBER(SEARCH("FIFO automático",I216)),"CONFORME","VERIFICAR")),"")</x:f>
      </x:c>
    </x:row>
    <x:row r="217">
      <x:c r="A217" s="52"/>
      <x:c r="G217" s="53"/>
      <x:c r="K217" s="53" t="n">
        <x:f>IF(B217="ENTRADA",G217,0)</x:f>
        <x:v>0</x:v>
      </x:c>
      <x:c r="L217" s="53" t="n">
        <x:f>IF(OR(B217="CONSUMO",B217="SAÍDA"),G217,0)</x:f>
        <x:v>0</x:v>
      </x:c>
      <x:c r="M217" s="53" t="n">
        <x:f>IF(C217="Farinheira",'Regras e Listas'!$D$4,IF(C217="Colorífico",'Regras e Listas'!$D$5,IF(C217="Farinha para o Flotamil",'Regras e Listas'!$D$6,0)))</x:f>
        <x:v>0</x:v>
      </x:c>
      <x:c r="N217" s="53" t="n">
        <x:f>K217*M217</x:f>
        <x:v>0</x:v>
      </x:c>
      <x:c r="O217" s="53" t="n">
        <x:f>L217*M217</x:f>
        <x:v>0</x:v>
      </x:c>
      <x:c r="P217" t="str">
        <x:f>IF(OR(B217="CONSUMO",B217="SAÍDA"),IF(ISNUMBER(SEARCH("não seguiu FIFO",I217)),"NÃO CONFORME",IF(ISNUMBER(SEARCH("FIFO automático",I217)),"CONFORME","VERIFICAR")),"")</x:f>
      </x:c>
    </x:row>
    <x:row r="218">
      <x:c r="A218" s="52"/>
      <x:c r="G218" s="53"/>
      <x:c r="K218" s="53" t="n">
        <x:f>IF(B218="ENTRADA",G218,0)</x:f>
        <x:v>0</x:v>
      </x:c>
      <x:c r="L218" s="53" t="n">
        <x:f>IF(OR(B218="CONSUMO",B218="SAÍDA"),G218,0)</x:f>
        <x:v>0</x:v>
      </x:c>
      <x:c r="M218" s="53" t="n">
        <x:f>IF(C218="Farinheira",'Regras e Listas'!$D$4,IF(C218="Colorífico",'Regras e Listas'!$D$5,IF(C218="Farinha para o Flotamil",'Regras e Listas'!$D$6,0)))</x:f>
        <x:v>0</x:v>
      </x:c>
      <x:c r="N218" s="53" t="n">
        <x:f>K218*M218</x:f>
        <x:v>0</x:v>
      </x:c>
      <x:c r="O218" s="53" t="n">
        <x:f>L218*M218</x:f>
        <x:v>0</x:v>
      </x:c>
      <x:c r="P218" t="str">
        <x:f>IF(OR(B218="CONSUMO",B218="SAÍDA"),IF(ISNUMBER(SEARCH("não seguiu FIFO",I218)),"NÃO CONFORME",IF(ISNUMBER(SEARCH("FIFO automático",I218)),"CONFORME","VERIFICAR")),"")</x:f>
      </x:c>
    </x:row>
    <x:row r="219">
      <x:c r="A219" s="52"/>
      <x:c r="G219" s="53"/>
      <x:c r="K219" s="53" t="n">
        <x:f>IF(B219="ENTRADA",G219,0)</x:f>
        <x:v>0</x:v>
      </x:c>
      <x:c r="L219" s="53" t="n">
        <x:f>IF(OR(B219="CONSUMO",B219="SAÍDA"),G219,0)</x:f>
        <x:v>0</x:v>
      </x:c>
      <x:c r="M219" s="53" t="n">
        <x:f>IF(C219="Farinheira",'Regras e Listas'!$D$4,IF(C219="Colorífico",'Regras e Listas'!$D$5,IF(C219="Farinha para o Flotamil",'Regras e Listas'!$D$6,0)))</x:f>
        <x:v>0</x:v>
      </x:c>
      <x:c r="N219" s="53" t="n">
        <x:f>K219*M219</x:f>
        <x:v>0</x:v>
      </x:c>
      <x:c r="O219" s="53" t="n">
        <x:f>L219*M219</x:f>
        <x:v>0</x:v>
      </x:c>
      <x:c r="P219" t="str">
        <x:f>IF(OR(B219="CONSUMO",B219="SAÍDA"),IF(ISNUMBER(SEARCH("não seguiu FIFO",I219)),"NÃO CONFORME",IF(ISNUMBER(SEARCH("FIFO automático",I219)),"CONFORME","VERIFICAR")),"")</x:f>
      </x:c>
    </x:row>
    <x:row r="220">
      <x:c r="A220" s="52"/>
      <x:c r="G220" s="53"/>
      <x:c r="K220" s="53" t="n">
        <x:f>IF(B220="ENTRADA",G220,0)</x:f>
        <x:v>0</x:v>
      </x:c>
      <x:c r="L220" s="53" t="n">
        <x:f>IF(OR(B220="CONSUMO",B220="SAÍDA"),G220,0)</x:f>
        <x:v>0</x:v>
      </x:c>
      <x:c r="M220" s="53" t="n">
        <x:f>IF(C220="Farinheira",'Regras e Listas'!$D$4,IF(C220="Colorífico",'Regras e Listas'!$D$5,IF(C220="Farinha para o Flotamil",'Regras e Listas'!$D$6,0)))</x:f>
        <x:v>0</x:v>
      </x:c>
      <x:c r="N220" s="53" t="n">
        <x:f>K220*M220</x:f>
        <x:v>0</x:v>
      </x:c>
      <x:c r="O220" s="53" t="n">
        <x:f>L220*M220</x:f>
        <x:v>0</x:v>
      </x:c>
      <x:c r="P220" t="str">
        <x:f>IF(OR(B220="CONSUMO",B220="SAÍDA"),IF(ISNUMBER(SEARCH("não seguiu FIFO",I220)),"NÃO CONFORME",IF(ISNUMBER(SEARCH("FIFO automático",I220)),"CONFORME","VERIFICAR")),"")</x:f>
      </x:c>
    </x:row>
    <x:row r="221">
      <x:c r="A221" s="52"/>
      <x:c r="G221" s="53"/>
      <x:c r="K221" s="53" t="n">
        <x:f>IF(B221="ENTRADA",G221,0)</x:f>
        <x:v>0</x:v>
      </x:c>
      <x:c r="L221" s="53" t="n">
        <x:f>IF(OR(B221="CONSUMO",B221="SAÍDA"),G221,0)</x:f>
        <x:v>0</x:v>
      </x:c>
      <x:c r="M221" s="53" t="n">
        <x:f>IF(C221="Farinheira",'Regras e Listas'!$D$4,IF(C221="Colorífico",'Regras e Listas'!$D$5,IF(C221="Farinha para o Flotamil",'Regras e Listas'!$D$6,0)))</x:f>
        <x:v>0</x:v>
      </x:c>
      <x:c r="N221" s="53" t="n">
        <x:f>K221*M221</x:f>
        <x:v>0</x:v>
      </x:c>
      <x:c r="O221" s="53" t="n">
        <x:f>L221*M221</x:f>
        <x:v>0</x:v>
      </x:c>
      <x:c r="P221" t="str">
        <x:f>IF(OR(B221="CONSUMO",B221="SAÍDA"),IF(ISNUMBER(SEARCH("não seguiu FIFO",I221)),"NÃO CONFORME",IF(ISNUMBER(SEARCH("FIFO automático",I221)),"CONFORME","VERIFICAR")),"")</x:f>
      </x:c>
    </x:row>
    <x:row r="222">
      <x:c r="A222" s="52"/>
      <x:c r="G222" s="53"/>
      <x:c r="K222" s="53" t="n">
        <x:f>IF(B222="ENTRADA",G222,0)</x:f>
        <x:v>0</x:v>
      </x:c>
      <x:c r="L222" s="53" t="n">
        <x:f>IF(OR(B222="CONSUMO",B222="SAÍDA"),G222,0)</x:f>
        <x:v>0</x:v>
      </x:c>
      <x:c r="M222" s="53" t="n">
        <x:f>IF(C222="Farinheira",'Regras e Listas'!$D$4,IF(C222="Colorífico",'Regras e Listas'!$D$5,IF(C222="Farinha para o Flotamil",'Regras e Listas'!$D$6,0)))</x:f>
        <x:v>0</x:v>
      </x:c>
      <x:c r="N222" s="53" t="n">
        <x:f>K222*M222</x:f>
        <x:v>0</x:v>
      </x:c>
      <x:c r="O222" s="53" t="n">
        <x:f>L222*M222</x:f>
        <x:v>0</x:v>
      </x:c>
      <x:c r="P222" t="str">
        <x:f>IF(OR(B222="CONSUMO",B222="SAÍDA"),IF(ISNUMBER(SEARCH("não seguiu FIFO",I222)),"NÃO CONFORME",IF(ISNUMBER(SEARCH("FIFO automático",I222)),"CONFORME","VERIFICAR")),"")</x:f>
      </x:c>
    </x:row>
    <x:row r="223">
      <x:c r="A223" s="52"/>
      <x:c r="G223" s="53"/>
      <x:c r="K223" s="53" t="n">
        <x:f>IF(B223="ENTRADA",G223,0)</x:f>
        <x:v>0</x:v>
      </x:c>
      <x:c r="L223" s="53" t="n">
        <x:f>IF(OR(B223="CONSUMO",B223="SAÍDA"),G223,0)</x:f>
        <x:v>0</x:v>
      </x:c>
      <x:c r="M223" s="53" t="n">
        <x:f>IF(C223="Farinheira",'Regras e Listas'!$D$4,IF(C223="Colorífico",'Regras e Listas'!$D$5,IF(C223="Farinha para o Flotamil",'Regras e Listas'!$D$6,0)))</x:f>
        <x:v>0</x:v>
      </x:c>
      <x:c r="N223" s="53" t="n">
        <x:f>K223*M223</x:f>
        <x:v>0</x:v>
      </x:c>
      <x:c r="O223" s="53" t="n">
        <x:f>L223*M223</x:f>
        <x:v>0</x:v>
      </x:c>
      <x:c r="P223" t="str">
        <x:f>IF(OR(B223="CONSUMO",B223="SAÍDA"),IF(ISNUMBER(SEARCH("não seguiu FIFO",I223)),"NÃO CONFORME",IF(ISNUMBER(SEARCH("FIFO automático",I223)),"CONFORME","VERIFICAR")),"")</x:f>
      </x:c>
    </x:row>
    <x:row r="224">
      <x:c r="A224" s="52"/>
      <x:c r="G224" s="53"/>
      <x:c r="K224" s="53" t="n">
        <x:f>IF(B224="ENTRADA",G224,0)</x:f>
        <x:v>0</x:v>
      </x:c>
      <x:c r="L224" s="53" t="n">
        <x:f>IF(OR(B224="CONSUMO",B224="SAÍDA"),G224,0)</x:f>
        <x:v>0</x:v>
      </x:c>
      <x:c r="M224" s="53" t="n">
        <x:f>IF(C224="Farinheira",'Regras e Listas'!$D$4,IF(C224="Colorífico",'Regras e Listas'!$D$5,IF(C224="Farinha para o Flotamil",'Regras e Listas'!$D$6,0)))</x:f>
        <x:v>0</x:v>
      </x:c>
      <x:c r="N224" s="53" t="n">
        <x:f>K224*M224</x:f>
        <x:v>0</x:v>
      </x:c>
      <x:c r="O224" s="53" t="n">
        <x:f>L224*M224</x:f>
        <x:v>0</x:v>
      </x:c>
      <x:c r="P224" t="str">
        <x:f>IF(OR(B224="CONSUMO",B224="SAÍDA"),IF(ISNUMBER(SEARCH("não seguiu FIFO",I224)),"NÃO CONFORME",IF(ISNUMBER(SEARCH("FIFO automático",I224)),"CONFORME","VERIFICAR")),"")</x:f>
      </x:c>
    </x:row>
    <x:row r="225">
      <x:c r="A225" s="52"/>
      <x:c r="G225" s="53"/>
      <x:c r="K225" s="53" t="n">
        <x:f>IF(B225="ENTRADA",G225,0)</x:f>
        <x:v>0</x:v>
      </x:c>
      <x:c r="L225" s="53" t="n">
        <x:f>IF(OR(B225="CONSUMO",B225="SAÍDA"),G225,0)</x:f>
        <x:v>0</x:v>
      </x:c>
      <x:c r="M225" s="53" t="n">
        <x:f>IF(C225="Farinheira",'Regras e Listas'!$D$4,IF(C225="Colorífico",'Regras e Listas'!$D$5,IF(C225="Farinha para o Flotamil",'Regras e Listas'!$D$6,0)))</x:f>
        <x:v>0</x:v>
      </x:c>
      <x:c r="N225" s="53" t="n">
        <x:f>K225*M225</x:f>
        <x:v>0</x:v>
      </x:c>
      <x:c r="O225" s="53" t="n">
        <x:f>L225*M225</x:f>
        <x:v>0</x:v>
      </x:c>
      <x:c r="P225" t="str">
        <x:f>IF(OR(B225="CONSUMO",B225="SAÍDA"),IF(ISNUMBER(SEARCH("não seguiu FIFO",I225)),"NÃO CONFORME",IF(ISNUMBER(SEARCH("FIFO automático",I225)),"CONFORME","VERIFICAR")),"")</x:f>
      </x:c>
    </x:row>
    <x:row r="226">
      <x:c r="A226" s="52"/>
      <x:c r="G226" s="53"/>
      <x:c r="K226" s="53" t="n">
        <x:f>IF(B226="ENTRADA",G226,0)</x:f>
        <x:v>0</x:v>
      </x:c>
      <x:c r="L226" s="53" t="n">
        <x:f>IF(OR(B226="CONSUMO",B226="SAÍDA"),G226,0)</x:f>
        <x:v>0</x:v>
      </x:c>
      <x:c r="M226" s="53" t="n">
        <x:f>IF(C226="Farinheira",'Regras e Listas'!$D$4,IF(C226="Colorífico",'Regras e Listas'!$D$5,IF(C226="Farinha para o Flotamil",'Regras e Listas'!$D$6,0)))</x:f>
        <x:v>0</x:v>
      </x:c>
      <x:c r="N226" s="53" t="n">
        <x:f>K226*M226</x:f>
        <x:v>0</x:v>
      </x:c>
      <x:c r="O226" s="53" t="n">
        <x:f>L226*M226</x:f>
        <x:v>0</x:v>
      </x:c>
      <x:c r="P226" t="str">
        <x:f>IF(OR(B226="CONSUMO",B226="SAÍDA"),IF(ISNUMBER(SEARCH("não seguiu FIFO",I226)),"NÃO CONFORME",IF(ISNUMBER(SEARCH("FIFO automático",I226)),"CONFORME","VERIFICAR")),"")</x:f>
      </x:c>
    </x:row>
    <x:row r="227">
      <x:c r="A227" s="52"/>
      <x:c r="G227" s="53"/>
      <x:c r="K227" s="53" t="n">
        <x:f>IF(B227="ENTRADA",G227,0)</x:f>
        <x:v>0</x:v>
      </x:c>
      <x:c r="L227" s="53" t="n">
        <x:f>IF(OR(B227="CONSUMO",B227="SAÍDA"),G227,0)</x:f>
        <x:v>0</x:v>
      </x:c>
      <x:c r="M227" s="53" t="n">
        <x:f>IF(C227="Farinheira",'Regras e Listas'!$D$4,IF(C227="Colorífico",'Regras e Listas'!$D$5,IF(C227="Farinha para o Flotamil",'Regras e Listas'!$D$6,0)))</x:f>
        <x:v>0</x:v>
      </x:c>
      <x:c r="N227" s="53" t="n">
        <x:f>K227*M227</x:f>
        <x:v>0</x:v>
      </x:c>
      <x:c r="O227" s="53" t="n">
        <x:f>L227*M227</x:f>
        <x:v>0</x:v>
      </x:c>
      <x:c r="P227" t="str">
        <x:f>IF(OR(B227="CONSUMO",B227="SAÍDA"),IF(ISNUMBER(SEARCH("não seguiu FIFO",I227)),"NÃO CONFORME",IF(ISNUMBER(SEARCH("FIFO automático",I227)),"CONFORME","VERIFICAR")),"")</x:f>
      </x:c>
    </x:row>
    <x:row r="228">
      <x:c r="A228" s="52"/>
      <x:c r="G228" s="53"/>
      <x:c r="K228" s="53" t="n">
        <x:f>IF(B228="ENTRADA",G228,0)</x:f>
        <x:v>0</x:v>
      </x:c>
      <x:c r="L228" s="53" t="n">
        <x:f>IF(OR(B228="CONSUMO",B228="SAÍDA"),G228,0)</x:f>
        <x:v>0</x:v>
      </x:c>
      <x:c r="M228" s="53" t="n">
        <x:f>IF(C228="Farinheira",'Regras e Listas'!$D$4,IF(C228="Colorífico",'Regras e Listas'!$D$5,IF(C228="Farinha para o Flotamil",'Regras e Listas'!$D$6,0)))</x:f>
        <x:v>0</x:v>
      </x:c>
      <x:c r="N228" s="53" t="n">
        <x:f>K228*M228</x:f>
        <x:v>0</x:v>
      </x:c>
      <x:c r="O228" s="53" t="n">
        <x:f>L228*M228</x:f>
        <x:v>0</x:v>
      </x:c>
      <x:c r="P228" t="str">
        <x:f>IF(OR(B228="CONSUMO",B228="SAÍDA"),IF(ISNUMBER(SEARCH("não seguiu FIFO",I228)),"NÃO CONFORME",IF(ISNUMBER(SEARCH("FIFO automático",I228)),"CONFORME","VERIFICAR")),"")</x:f>
      </x:c>
    </x:row>
    <x:row r="229">
      <x:c r="A229" s="52"/>
      <x:c r="G229" s="53"/>
      <x:c r="K229" s="53" t="n">
        <x:f>IF(B229="ENTRADA",G229,0)</x:f>
        <x:v>0</x:v>
      </x:c>
      <x:c r="L229" s="53" t="n">
        <x:f>IF(OR(B229="CONSUMO",B229="SAÍDA"),G229,0)</x:f>
        <x:v>0</x:v>
      </x:c>
      <x:c r="M229" s="53" t="n">
        <x:f>IF(C229="Farinheira",'Regras e Listas'!$D$4,IF(C229="Colorífico",'Regras e Listas'!$D$5,IF(C229="Farinha para o Flotamil",'Regras e Listas'!$D$6,0)))</x:f>
        <x:v>0</x:v>
      </x:c>
      <x:c r="N229" s="53" t="n">
        <x:f>K229*M229</x:f>
        <x:v>0</x:v>
      </x:c>
      <x:c r="O229" s="53" t="n">
        <x:f>L229*M229</x:f>
        <x:v>0</x:v>
      </x:c>
      <x:c r="P229" t="str">
        <x:f>IF(OR(B229="CONSUMO",B229="SAÍDA"),IF(ISNUMBER(SEARCH("não seguiu FIFO",I229)),"NÃO CONFORME",IF(ISNUMBER(SEARCH("FIFO automático",I229)),"CONFORME","VERIFICAR")),"")</x:f>
      </x:c>
    </x:row>
    <x:row r="230">
      <x:c r="A230" s="52"/>
      <x:c r="G230" s="53"/>
      <x:c r="K230" s="53" t="n">
        <x:f>IF(B230="ENTRADA",G230,0)</x:f>
        <x:v>0</x:v>
      </x:c>
      <x:c r="L230" s="53" t="n">
        <x:f>IF(OR(B230="CONSUMO",B230="SAÍDA"),G230,0)</x:f>
        <x:v>0</x:v>
      </x:c>
      <x:c r="M230" s="53" t="n">
        <x:f>IF(C230="Farinheira",'Regras e Listas'!$D$4,IF(C230="Colorífico",'Regras e Listas'!$D$5,IF(C230="Farinha para o Flotamil",'Regras e Listas'!$D$6,0)))</x:f>
        <x:v>0</x:v>
      </x:c>
      <x:c r="N230" s="53" t="n">
        <x:f>K230*M230</x:f>
        <x:v>0</x:v>
      </x:c>
      <x:c r="O230" s="53" t="n">
        <x:f>L230*M230</x:f>
        <x:v>0</x:v>
      </x:c>
      <x:c r="P230" t="str">
        <x:f>IF(OR(B230="CONSUMO",B230="SAÍDA"),IF(ISNUMBER(SEARCH("não seguiu FIFO",I230)),"NÃO CONFORME",IF(ISNUMBER(SEARCH("FIFO automático",I230)),"CONFORME","VERIFICAR")),"")</x:f>
      </x:c>
    </x:row>
    <x:row r="231">
      <x:c r="A231" s="52"/>
      <x:c r="G231" s="53"/>
      <x:c r="K231" s="53" t="n">
        <x:f>IF(B231="ENTRADA",G231,0)</x:f>
        <x:v>0</x:v>
      </x:c>
      <x:c r="L231" s="53" t="n">
        <x:f>IF(OR(B231="CONSUMO",B231="SAÍDA"),G231,0)</x:f>
        <x:v>0</x:v>
      </x:c>
      <x:c r="M231" s="53" t="n">
        <x:f>IF(C231="Farinheira",'Regras e Listas'!$D$4,IF(C231="Colorífico",'Regras e Listas'!$D$5,IF(C231="Farinha para o Flotamil",'Regras e Listas'!$D$6,0)))</x:f>
        <x:v>0</x:v>
      </x:c>
      <x:c r="N231" s="53" t="n">
        <x:f>K231*M231</x:f>
        <x:v>0</x:v>
      </x:c>
      <x:c r="O231" s="53" t="n">
        <x:f>L231*M231</x:f>
        <x:v>0</x:v>
      </x:c>
      <x:c r="P231" t="str">
        <x:f>IF(OR(B231="CONSUMO",B231="SAÍDA"),IF(ISNUMBER(SEARCH("não seguiu FIFO",I231)),"NÃO CONFORME",IF(ISNUMBER(SEARCH("FIFO automático",I231)),"CONFORME","VERIFICAR")),"")</x:f>
      </x:c>
    </x:row>
    <x:row r="232">
      <x:c r="A232" s="52"/>
      <x:c r="G232" s="53"/>
      <x:c r="K232" s="53" t="n">
        <x:f>IF(B232="ENTRADA",G232,0)</x:f>
        <x:v>0</x:v>
      </x:c>
      <x:c r="L232" s="53" t="n">
        <x:f>IF(OR(B232="CONSUMO",B232="SAÍDA"),G232,0)</x:f>
        <x:v>0</x:v>
      </x:c>
      <x:c r="M232" s="53" t="n">
        <x:f>IF(C232="Farinheira",'Regras e Listas'!$D$4,IF(C232="Colorífico",'Regras e Listas'!$D$5,IF(C232="Farinha para o Flotamil",'Regras e Listas'!$D$6,0)))</x:f>
        <x:v>0</x:v>
      </x:c>
      <x:c r="N232" s="53" t="n">
        <x:f>K232*M232</x:f>
        <x:v>0</x:v>
      </x:c>
      <x:c r="O232" s="53" t="n">
        <x:f>L232*M232</x:f>
        <x:v>0</x:v>
      </x:c>
      <x:c r="P232" t="str">
        <x:f>IF(OR(B232="CONSUMO",B232="SAÍDA"),IF(ISNUMBER(SEARCH("não seguiu FIFO",I232)),"NÃO CONFORME",IF(ISNUMBER(SEARCH("FIFO automático",I232)),"CONFORME","VERIFICAR")),"")</x:f>
      </x:c>
    </x:row>
    <x:row r="233">
      <x:c r="A233" s="52"/>
      <x:c r="G233" s="53"/>
      <x:c r="K233" s="53" t="n">
        <x:f>IF(B233="ENTRADA",G233,0)</x:f>
        <x:v>0</x:v>
      </x:c>
      <x:c r="L233" s="53" t="n">
        <x:f>IF(OR(B233="CONSUMO",B233="SAÍDA"),G233,0)</x:f>
        <x:v>0</x:v>
      </x:c>
      <x:c r="M233" s="53" t="n">
        <x:f>IF(C233="Farinheira",'Regras e Listas'!$D$4,IF(C233="Colorífico",'Regras e Listas'!$D$5,IF(C233="Farinha para o Flotamil",'Regras e Listas'!$D$6,0)))</x:f>
        <x:v>0</x:v>
      </x:c>
      <x:c r="N233" s="53" t="n">
        <x:f>K233*M233</x:f>
        <x:v>0</x:v>
      </x:c>
      <x:c r="O233" s="53" t="n">
        <x:f>L233*M233</x:f>
        <x:v>0</x:v>
      </x:c>
      <x:c r="P233" t="str">
        <x:f>IF(OR(B233="CONSUMO",B233="SAÍDA"),IF(ISNUMBER(SEARCH("não seguiu FIFO",I233)),"NÃO CONFORME",IF(ISNUMBER(SEARCH("FIFO automático",I233)),"CONFORME","VERIFICAR")),"")</x:f>
      </x:c>
    </x:row>
    <x:row r="234">
      <x:c r="A234" s="52"/>
      <x:c r="G234" s="53"/>
      <x:c r="K234" s="53" t="n">
        <x:f>IF(B234="ENTRADA",G234,0)</x:f>
        <x:v>0</x:v>
      </x:c>
      <x:c r="L234" s="53" t="n">
        <x:f>IF(OR(B234="CONSUMO",B234="SAÍDA"),G234,0)</x:f>
        <x:v>0</x:v>
      </x:c>
      <x:c r="M234" s="53" t="n">
        <x:f>IF(C234="Farinheira",'Regras e Listas'!$D$4,IF(C234="Colorífico",'Regras e Listas'!$D$5,IF(C234="Farinha para o Flotamil",'Regras e Listas'!$D$6,0)))</x:f>
        <x:v>0</x:v>
      </x:c>
      <x:c r="N234" s="53" t="n">
        <x:f>K234*M234</x:f>
        <x:v>0</x:v>
      </x:c>
      <x:c r="O234" s="53" t="n">
        <x:f>L234*M234</x:f>
        <x:v>0</x:v>
      </x:c>
      <x:c r="P234" t="str">
        <x:f>IF(OR(B234="CONSUMO",B234="SAÍDA"),IF(ISNUMBER(SEARCH("não seguiu FIFO",I234)),"NÃO CONFORME",IF(ISNUMBER(SEARCH("FIFO automático",I234)),"CONFORME","VERIFICAR")),"")</x:f>
      </x:c>
    </x:row>
    <x:row r="235">
      <x:c r="A235" s="52"/>
      <x:c r="G235" s="53"/>
      <x:c r="K235" s="53" t="n">
        <x:f>IF(B235="ENTRADA",G235,0)</x:f>
        <x:v>0</x:v>
      </x:c>
      <x:c r="L235" s="53" t="n">
        <x:f>IF(OR(B235="CONSUMO",B235="SAÍDA"),G235,0)</x:f>
        <x:v>0</x:v>
      </x:c>
      <x:c r="M235" s="53" t="n">
        <x:f>IF(C235="Farinheira",'Regras e Listas'!$D$4,IF(C235="Colorífico",'Regras e Listas'!$D$5,IF(C235="Farinha para o Flotamil",'Regras e Listas'!$D$6,0)))</x:f>
        <x:v>0</x:v>
      </x:c>
      <x:c r="N235" s="53" t="n">
        <x:f>K235*M235</x:f>
        <x:v>0</x:v>
      </x:c>
      <x:c r="O235" s="53" t="n">
        <x:f>L235*M235</x:f>
        <x:v>0</x:v>
      </x:c>
      <x:c r="P235" t="str">
        <x:f>IF(OR(B235="CONSUMO",B235="SAÍDA"),IF(ISNUMBER(SEARCH("não seguiu FIFO",I235)),"NÃO CONFORME",IF(ISNUMBER(SEARCH("FIFO automático",I235)),"CONFORME","VERIFICAR")),"")</x:f>
      </x:c>
    </x:row>
    <x:row r="236">
      <x:c r="A236" s="52"/>
      <x:c r="G236" s="53"/>
      <x:c r="K236" s="53" t="n">
        <x:f>IF(B236="ENTRADA",G236,0)</x:f>
        <x:v>0</x:v>
      </x:c>
      <x:c r="L236" s="53" t="n">
        <x:f>IF(OR(B236="CONSUMO",B236="SAÍDA"),G236,0)</x:f>
        <x:v>0</x:v>
      </x:c>
      <x:c r="M236" s="53" t="n">
        <x:f>IF(C236="Farinheira",'Regras e Listas'!$D$4,IF(C236="Colorífico",'Regras e Listas'!$D$5,IF(C236="Farinha para o Flotamil",'Regras e Listas'!$D$6,0)))</x:f>
        <x:v>0</x:v>
      </x:c>
      <x:c r="N236" s="53" t="n">
        <x:f>K236*M236</x:f>
        <x:v>0</x:v>
      </x:c>
      <x:c r="O236" s="53" t="n">
        <x:f>L236*M236</x:f>
        <x:v>0</x:v>
      </x:c>
      <x:c r="P236" t="str">
        <x:f>IF(OR(B236="CONSUMO",B236="SAÍDA"),IF(ISNUMBER(SEARCH("não seguiu FIFO",I236)),"NÃO CONFORME",IF(ISNUMBER(SEARCH("FIFO automático",I236)),"CONFORME","VERIFICAR")),"")</x:f>
      </x:c>
    </x:row>
    <x:row r="237">
      <x:c r="A237" s="52"/>
      <x:c r="G237" s="53"/>
      <x:c r="K237" s="53" t="n">
        <x:f>IF(B237="ENTRADA",G237,0)</x:f>
        <x:v>0</x:v>
      </x:c>
      <x:c r="L237" s="53" t="n">
        <x:f>IF(OR(B237="CONSUMO",B237="SAÍDA"),G237,0)</x:f>
        <x:v>0</x:v>
      </x:c>
      <x:c r="M237" s="53" t="n">
        <x:f>IF(C237="Farinheira",'Regras e Listas'!$D$4,IF(C237="Colorífico",'Regras e Listas'!$D$5,IF(C237="Farinha para o Flotamil",'Regras e Listas'!$D$6,0)))</x:f>
        <x:v>0</x:v>
      </x:c>
      <x:c r="N237" s="53" t="n">
        <x:f>K237*M237</x:f>
        <x:v>0</x:v>
      </x:c>
      <x:c r="O237" s="53" t="n">
        <x:f>L237*M237</x:f>
        <x:v>0</x:v>
      </x:c>
      <x:c r="P237" t="str">
        <x:f>IF(OR(B237="CONSUMO",B237="SAÍDA"),IF(ISNUMBER(SEARCH("não seguiu FIFO",I237)),"NÃO CONFORME",IF(ISNUMBER(SEARCH("FIFO automático",I237)),"CONFORME","VERIFICAR")),"")</x:f>
      </x:c>
    </x:row>
    <x:row r="238">
      <x:c r="A238" s="52"/>
      <x:c r="G238" s="53"/>
      <x:c r="K238" s="53" t="n">
        <x:f>IF(B238="ENTRADA",G238,0)</x:f>
        <x:v>0</x:v>
      </x:c>
      <x:c r="L238" s="53" t="n">
        <x:f>IF(OR(B238="CONSUMO",B238="SAÍDA"),G238,0)</x:f>
        <x:v>0</x:v>
      </x:c>
      <x:c r="M238" s="53" t="n">
        <x:f>IF(C238="Farinheira",'Regras e Listas'!$D$4,IF(C238="Colorífico",'Regras e Listas'!$D$5,IF(C238="Farinha para o Flotamil",'Regras e Listas'!$D$6,0)))</x:f>
        <x:v>0</x:v>
      </x:c>
      <x:c r="N238" s="53" t="n">
        <x:f>K238*M238</x:f>
        <x:v>0</x:v>
      </x:c>
      <x:c r="O238" s="53" t="n">
        <x:f>L238*M238</x:f>
        <x:v>0</x:v>
      </x:c>
      <x:c r="P238" t="str">
        <x:f>IF(OR(B238="CONSUMO",B238="SAÍDA"),IF(ISNUMBER(SEARCH("não seguiu FIFO",I238)),"NÃO CONFORME",IF(ISNUMBER(SEARCH("FIFO automático",I238)),"CONFORME","VERIFICAR")),"")</x:f>
      </x:c>
    </x:row>
    <x:row r="239">
      <x:c r="A239" s="52"/>
      <x:c r="G239" s="53"/>
      <x:c r="K239" s="53" t="n">
        <x:f>IF(B239="ENTRADA",G239,0)</x:f>
        <x:v>0</x:v>
      </x:c>
      <x:c r="L239" s="53" t="n">
        <x:f>IF(OR(B239="CONSUMO",B239="SAÍDA"),G239,0)</x:f>
        <x:v>0</x:v>
      </x:c>
      <x:c r="M239" s="53" t="n">
        <x:f>IF(C239="Farinheira",'Regras e Listas'!$D$4,IF(C239="Colorífico",'Regras e Listas'!$D$5,IF(C239="Farinha para o Flotamil",'Regras e Listas'!$D$6,0)))</x:f>
        <x:v>0</x:v>
      </x:c>
      <x:c r="N239" s="53" t="n">
        <x:f>K239*M239</x:f>
        <x:v>0</x:v>
      </x:c>
      <x:c r="O239" s="53" t="n">
        <x:f>L239*M239</x:f>
        <x:v>0</x:v>
      </x:c>
      <x:c r="P239" t="str">
        <x:f>IF(OR(B239="CONSUMO",B239="SAÍDA"),IF(ISNUMBER(SEARCH("não seguiu FIFO",I239)),"NÃO CONFORME",IF(ISNUMBER(SEARCH("FIFO automático",I239)),"CONFORME","VERIFICAR")),"")</x:f>
      </x:c>
    </x:row>
    <x:row r="240">
      <x:c r="A240" s="52"/>
      <x:c r="G240" s="53"/>
      <x:c r="K240" s="53" t="n">
        <x:f>IF(B240="ENTRADA",G240,0)</x:f>
        <x:v>0</x:v>
      </x:c>
      <x:c r="L240" s="53" t="n">
        <x:f>IF(OR(B240="CONSUMO",B240="SAÍDA"),G240,0)</x:f>
        <x:v>0</x:v>
      </x:c>
      <x:c r="M240" s="53" t="n">
        <x:f>IF(C240="Farinheira",'Regras e Listas'!$D$4,IF(C240="Colorífico",'Regras e Listas'!$D$5,IF(C240="Farinha para o Flotamil",'Regras e Listas'!$D$6,0)))</x:f>
        <x:v>0</x:v>
      </x:c>
      <x:c r="N240" s="53" t="n">
        <x:f>K240*M240</x:f>
        <x:v>0</x:v>
      </x:c>
      <x:c r="O240" s="53" t="n">
        <x:f>L240*M240</x:f>
        <x:v>0</x:v>
      </x:c>
      <x:c r="P240" t="str">
        <x:f>IF(OR(B240="CONSUMO",B240="SAÍDA"),IF(ISNUMBER(SEARCH("não seguiu FIFO",I240)),"NÃO CONFORME",IF(ISNUMBER(SEARCH("FIFO automático",I240)),"CONFORME","VERIFICAR")),"")</x:f>
      </x:c>
    </x:row>
    <x:row r="241">
      <x:c r="A241" s="52"/>
      <x:c r="G241" s="53"/>
      <x:c r="K241" s="53" t="n">
        <x:f>IF(B241="ENTRADA",G241,0)</x:f>
        <x:v>0</x:v>
      </x:c>
      <x:c r="L241" s="53" t="n">
        <x:f>IF(OR(B241="CONSUMO",B241="SAÍDA"),G241,0)</x:f>
        <x:v>0</x:v>
      </x:c>
      <x:c r="M241" s="53" t="n">
        <x:f>IF(C241="Farinheira",'Regras e Listas'!$D$4,IF(C241="Colorífico",'Regras e Listas'!$D$5,IF(C241="Farinha para o Flotamil",'Regras e Listas'!$D$6,0)))</x:f>
        <x:v>0</x:v>
      </x:c>
      <x:c r="N241" s="53" t="n">
        <x:f>K241*M241</x:f>
        <x:v>0</x:v>
      </x:c>
      <x:c r="O241" s="53" t="n">
        <x:f>L241*M241</x:f>
        <x:v>0</x:v>
      </x:c>
      <x:c r="P241" t="str">
        <x:f>IF(OR(B241="CONSUMO",B241="SAÍDA"),IF(ISNUMBER(SEARCH("não seguiu FIFO",I241)),"NÃO CONFORME",IF(ISNUMBER(SEARCH("FIFO automático",I241)),"CONFORME","VERIFICAR")),"")</x:f>
      </x:c>
    </x:row>
    <x:row r="242">
      <x:c r="A242" s="52"/>
      <x:c r="G242" s="53"/>
      <x:c r="K242" s="53" t="n">
        <x:f>IF(B242="ENTRADA",G242,0)</x:f>
        <x:v>0</x:v>
      </x:c>
      <x:c r="L242" s="53" t="n">
        <x:f>IF(OR(B242="CONSUMO",B242="SAÍDA"),G242,0)</x:f>
        <x:v>0</x:v>
      </x:c>
      <x:c r="M242" s="53" t="n">
        <x:f>IF(C242="Farinheira",'Regras e Listas'!$D$4,IF(C242="Colorífico",'Regras e Listas'!$D$5,IF(C242="Farinha para o Flotamil",'Regras e Listas'!$D$6,0)))</x:f>
        <x:v>0</x:v>
      </x:c>
      <x:c r="N242" s="53" t="n">
        <x:f>K242*M242</x:f>
        <x:v>0</x:v>
      </x:c>
      <x:c r="O242" s="53" t="n">
        <x:f>L242*M242</x:f>
        <x:v>0</x:v>
      </x:c>
      <x:c r="P242" t="str">
        <x:f>IF(OR(B242="CONSUMO",B242="SAÍDA"),IF(ISNUMBER(SEARCH("não seguiu FIFO",I242)),"NÃO CONFORME",IF(ISNUMBER(SEARCH("FIFO automático",I242)),"CONFORME","VERIFICAR")),"")</x:f>
      </x:c>
    </x:row>
    <x:row r="243">
      <x:c r="A243" s="52"/>
      <x:c r="G243" s="53"/>
      <x:c r="K243" s="53" t="n">
        <x:f>IF(B243="ENTRADA",G243,0)</x:f>
        <x:v>0</x:v>
      </x:c>
      <x:c r="L243" s="53" t="n">
        <x:f>IF(OR(B243="CONSUMO",B243="SAÍDA"),G243,0)</x:f>
        <x:v>0</x:v>
      </x:c>
      <x:c r="M243" s="53" t="n">
        <x:f>IF(C243="Farinheira",'Regras e Listas'!$D$4,IF(C243="Colorífico",'Regras e Listas'!$D$5,IF(C243="Farinha para o Flotamil",'Regras e Listas'!$D$6,0)))</x:f>
        <x:v>0</x:v>
      </x:c>
      <x:c r="N243" s="53" t="n">
        <x:f>K243*M243</x:f>
        <x:v>0</x:v>
      </x:c>
      <x:c r="O243" s="53" t="n">
        <x:f>L243*M243</x:f>
        <x:v>0</x:v>
      </x:c>
      <x:c r="P243" t="str">
        <x:f>IF(OR(B243="CONSUMO",B243="SAÍDA"),IF(ISNUMBER(SEARCH("não seguiu FIFO",I243)),"NÃO CONFORME",IF(ISNUMBER(SEARCH("FIFO automático",I243)),"CONFORME","VERIFICAR")),"")</x:f>
      </x:c>
    </x:row>
    <x:row r="244">
      <x:c r="A244" s="52"/>
      <x:c r="G244" s="53"/>
      <x:c r="K244" s="53" t="n">
        <x:f>IF(B244="ENTRADA",G244,0)</x:f>
        <x:v>0</x:v>
      </x:c>
      <x:c r="L244" s="53" t="n">
        <x:f>IF(OR(B244="CONSUMO",B244="SAÍDA"),G244,0)</x:f>
        <x:v>0</x:v>
      </x:c>
      <x:c r="M244" s="53" t="n">
        <x:f>IF(C244="Farinheira",'Regras e Listas'!$D$4,IF(C244="Colorífico",'Regras e Listas'!$D$5,IF(C244="Farinha para o Flotamil",'Regras e Listas'!$D$6,0)))</x:f>
        <x:v>0</x:v>
      </x:c>
      <x:c r="N244" s="53" t="n">
        <x:f>K244*M244</x:f>
        <x:v>0</x:v>
      </x:c>
      <x:c r="O244" s="53" t="n">
        <x:f>L244*M244</x:f>
        <x:v>0</x:v>
      </x:c>
      <x:c r="P244" t="str">
        <x:f>IF(OR(B244="CONSUMO",B244="SAÍDA"),IF(ISNUMBER(SEARCH("não seguiu FIFO",I244)),"NÃO CONFORME",IF(ISNUMBER(SEARCH("FIFO automático",I244)),"CONFORME","VERIFICAR")),"")</x:f>
      </x:c>
    </x:row>
    <x:row r="245">
      <x:c r="A245" s="52"/>
      <x:c r="G245" s="53"/>
      <x:c r="K245" s="53" t="n">
        <x:f>IF(B245="ENTRADA",G245,0)</x:f>
        <x:v>0</x:v>
      </x:c>
      <x:c r="L245" s="53" t="n">
        <x:f>IF(OR(B245="CONSUMO",B245="SAÍDA"),G245,0)</x:f>
        <x:v>0</x:v>
      </x:c>
      <x:c r="M245" s="53" t="n">
        <x:f>IF(C245="Farinheira",'Regras e Listas'!$D$4,IF(C245="Colorífico",'Regras e Listas'!$D$5,IF(C245="Farinha para o Flotamil",'Regras e Listas'!$D$6,0)))</x:f>
        <x:v>0</x:v>
      </x:c>
      <x:c r="N245" s="53" t="n">
        <x:f>K245*M245</x:f>
        <x:v>0</x:v>
      </x:c>
      <x:c r="O245" s="53" t="n">
        <x:f>L245*M245</x:f>
        <x:v>0</x:v>
      </x:c>
      <x:c r="P245" t="str">
        <x:f>IF(OR(B245="CONSUMO",B245="SAÍDA"),IF(ISNUMBER(SEARCH("não seguiu FIFO",I245)),"NÃO CONFORME",IF(ISNUMBER(SEARCH("FIFO automático",I245)),"CONFORME","VERIFICAR")),"")</x:f>
      </x:c>
    </x:row>
    <x:row r="246">
      <x:c r="A246" s="52"/>
      <x:c r="G246" s="53"/>
      <x:c r="K246" s="53" t="n">
        <x:f>IF(B246="ENTRADA",G246,0)</x:f>
        <x:v>0</x:v>
      </x:c>
      <x:c r="L246" s="53" t="n">
        <x:f>IF(OR(B246="CONSUMO",B246="SAÍDA"),G246,0)</x:f>
        <x:v>0</x:v>
      </x:c>
      <x:c r="M246" s="53" t="n">
        <x:f>IF(C246="Farinheira",'Regras e Listas'!$D$4,IF(C246="Colorífico",'Regras e Listas'!$D$5,IF(C246="Farinha para o Flotamil",'Regras e Listas'!$D$6,0)))</x:f>
        <x:v>0</x:v>
      </x:c>
      <x:c r="N246" s="53" t="n">
        <x:f>K246*M246</x:f>
        <x:v>0</x:v>
      </x:c>
      <x:c r="O246" s="53" t="n">
        <x:f>L246*M246</x:f>
        <x:v>0</x:v>
      </x:c>
      <x:c r="P246" t="str">
        <x:f>IF(OR(B246="CONSUMO",B246="SAÍDA"),IF(ISNUMBER(SEARCH("não seguiu FIFO",I246)),"NÃO CONFORME",IF(ISNUMBER(SEARCH("FIFO automático",I246)),"CONFORME","VERIFICAR")),"")</x:f>
      </x:c>
    </x:row>
    <x:row r="247">
      <x:c r="A247" s="52"/>
      <x:c r="G247" s="53"/>
      <x:c r="K247" s="53" t="n">
        <x:f>IF(B247="ENTRADA",G247,0)</x:f>
        <x:v>0</x:v>
      </x:c>
      <x:c r="L247" s="53" t="n">
        <x:f>IF(OR(B247="CONSUMO",B247="SAÍDA"),G247,0)</x:f>
        <x:v>0</x:v>
      </x:c>
      <x:c r="M247" s="53" t="n">
        <x:f>IF(C247="Farinheira",'Regras e Listas'!$D$4,IF(C247="Colorífico",'Regras e Listas'!$D$5,IF(C247="Farinha para o Flotamil",'Regras e Listas'!$D$6,0)))</x:f>
        <x:v>0</x:v>
      </x:c>
      <x:c r="N247" s="53" t="n">
        <x:f>K247*M247</x:f>
        <x:v>0</x:v>
      </x:c>
      <x:c r="O247" s="53" t="n">
        <x:f>L247*M247</x:f>
        <x:v>0</x:v>
      </x:c>
      <x:c r="P247" t="str">
        <x:f>IF(OR(B247="CONSUMO",B247="SAÍDA"),IF(ISNUMBER(SEARCH("não seguiu FIFO",I247)),"NÃO CONFORME",IF(ISNUMBER(SEARCH("FIFO automático",I247)),"CONFORME","VERIFICAR")),"")</x:f>
      </x:c>
    </x:row>
    <x:row r="248">
      <x:c r="A248" s="52"/>
      <x:c r="G248" s="53"/>
      <x:c r="K248" s="53" t="n">
        <x:f>IF(B248="ENTRADA",G248,0)</x:f>
        <x:v>0</x:v>
      </x:c>
      <x:c r="L248" s="53" t="n">
        <x:f>IF(OR(B248="CONSUMO",B248="SAÍDA"),G248,0)</x:f>
        <x:v>0</x:v>
      </x:c>
      <x:c r="M248" s="53" t="n">
        <x:f>IF(C248="Farinheira",'Regras e Listas'!$D$4,IF(C248="Colorífico",'Regras e Listas'!$D$5,IF(C248="Farinha para o Flotamil",'Regras e Listas'!$D$6,0)))</x:f>
        <x:v>0</x:v>
      </x:c>
      <x:c r="N248" s="53" t="n">
        <x:f>K248*M248</x:f>
        <x:v>0</x:v>
      </x:c>
      <x:c r="O248" s="53" t="n">
        <x:f>L248*M248</x:f>
        <x:v>0</x:v>
      </x:c>
      <x:c r="P248" t="str">
        <x:f>IF(OR(B248="CONSUMO",B248="SAÍDA"),IF(ISNUMBER(SEARCH("não seguiu FIFO",I248)),"NÃO CONFORME",IF(ISNUMBER(SEARCH("FIFO automático",I248)),"CONFORME","VERIFICAR")),"")</x:f>
      </x:c>
    </x:row>
    <x:row r="249">
      <x:c r="A249" s="52"/>
      <x:c r="G249" s="53"/>
      <x:c r="K249" s="53" t="n">
        <x:f>IF(B249="ENTRADA",G249,0)</x:f>
        <x:v>0</x:v>
      </x:c>
      <x:c r="L249" s="53" t="n">
        <x:f>IF(OR(B249="CONSUMO",B249="SAÍDA"),G249,0)</x:f>
        <x:v>0</x:v>
      </x:c>
      <x:c r="M249" s="53" t="n">
        <x:f>IF(C249="Farinheira",'Regras e Listas'!$D$4,IF(C249="Colorífico",'Regras e Listas'!$D$5,IF(C249="Farinha para o Flotamil",'Regras e Listas'!$D$6,0)))</x:f>
        <x:v>0</x:v>
      </x:c>
      <x:c r="N249" s="53" t="n">
        <x:f>K249*M249</x:f>
        <x:v>0</x:v>
      </x:c>
      <x:c r="O249" s="53" t="n">
        <x:f>L249*M249</x:f>
        <x:v>0</x:v>
      </x:c>
      <x:c r="P249" t="str">
        <x:f>IF(OR(B249="CONSUMO",B249="SAÍDA"),IF(ISNUMBER(SEARCH("não seguiu FIFO",I249)),"NÃO CONFORME",IF(ISNUMBER(SEARCH("FIFO automático",I249)),"CONFORME","VERIFICAR")),"")</x:f>
      </x:c>
    </x:row>
    <x:row r="250">
      <x:c r="A250" s="52"/>
      <x:c r="G250" s="53"/>
      <x:c r="K250" s="53" t="n">
        <x:f>IF(B250="ENTRADA",G250,0)</x:f>
        <x:v>0</x:v>
      </x:c>
      <x:c r="L250" s="53" t="n">
        <x:f>IF(OR(B250="CONSUMO",B250="SAÍDA"),G250,0)</x:f>
        <x:v>0</x:v>
      </x:c>
      <x:c r="M250" s="53" t="n">
        <x:f>IF(C250="Farinheira",'Regras e Listas'!$D$4,IF(C250="Colorífico",'Regras e Listas'!$D$5,IF(C250="Farinha para o Flotamil",'Regras e Listas'!$D$6,0)))</x:f>
        <x:v>0</x:v>
      </x:c>
      <x:c r="N250" s="53" t="n">
        <x:f>K250*M250</x:f>
        <x:v>0</x:v>
      </x:c>
      <x:c r="O250" s="53" t="n">
        <x:f>L250*M250</x:f>
        <x:v>0</x:v>
      </x:c>
      <x:c r="P250" t="str">
        <x:f>IF(OR(B250="CONSUMO",B250="SAÍDA"),IF(ISNUMBER(SEARCH("não seguiu FIFO",I250)),"NÃO CONFORME",IF(ISNUMBER(SEARCH("FIFO automático",I250)),"CONFORME","VERIFICAR")),"")</x:f>
      </x:c>
    </x:row>
    <x:row r="251">
      <x:c r="A251" s="52"/>
      <x:c r="G251" s="53"/>
      <x:c r="K251" s="53" t="n">
        <x:f>IF(B251="ENTRADA",G251,0)</x:f>
        <x:v>0</x:v>
      </x:c>
      <x:c r="L251" s="53" t="n">
        <x:f>IF(OR(B251="CONSUMO",B251="SAÍDA"),G251,0)</x:f>
        <x:v>0</x:v>
      </x:c>
      <x:c r="M251" s="53" t="n">
        <x:f>IF(C251="Farinheira",'Regras e Listas'!$D$4,IF(C251="Colorífico",'Regras e Listas'!$D$5,IF(C251="Farinha para o Flotamil",'Regras e Listas'!$D$6,0)))</x:f>
        <x:v>0</x:v>
      </x:c>
      <x:c r="N251" s="53" t="n">
        <x:f>K251*M251</x:f>
        <x:v>0</x:v>
      </x:c>
      <x:c r="O251" s="53" t="n">
        <x:f>L251*M251</x:f>
        <x:v>0</x:v>
      </x:c>
      <x:c r="P251" t="str">
        <x:f>IF(OR(B251="CONSUMO",B251="SAÍDA"),IF(ISNUMBER(SEARCH("não seguiu FIFO",I251)),"NÃO CONFORME",IF(ISNUMBER(SEARCH("FIFO automático",I251)),"CONFORME","VERIFICAR")),"")</x:f>
      </x:c>
    </x:row>
    <x:row r="252">
      <x:c r="A252" s="52"/>
      <x:c r="G252" s="53"/>
      <x:c r="K252" s="53" t="n">
        <x:f>IF(B252="ENTRADA",G252,0)</x:f>
        <x:v>0</x:v>
      </x:c>
      <x:c r="L252" s="53" t="n">
        <x:f>IF(OR(B252="CONSUMO",B252="SAÍDA"),G252,0)</x:f>
        <x:v>0</x:v>
      </x:c>
      <x:c r="M252" s="53" t="n">
        <x:f>IF(C252="Farinheira",'Regras e Listas'!$D$4,IF(C252="Colorífico",'Regras e Listas'!$D$5,IF(C252="Farinha para o Flotamil",'Regras e Listas'!$D$6,0)))</x:f>
        <x:v>0</x:v>
      </x:c>
      <x:c r="N252" s="53" t="n">
        <x:f>K252*M252</x:f>
        <x:v>0</x:v>
      </x:c>
      <x:c r="O252" s="53" t="n">
        <x:f>L252*M252</x:f>
        <x:v>0</x:v>
      </x:c>
      <x:c r="P252" t="str">
        <x:f>IF(OR(B252="CONSUMO",B252="SAÍDA"),IF(ISNUMBER(SEARCH("não seguiu FIFO",I252)),"NÃO CONFORME",IF(ISNUMBER(SEARCH("FIFO automático",I252)),"CONFORME","VERIFICAR")),"")</x:f>
      </x:c>
    </x:row>
    <x:row r="253">
      <x:c r="A253" s="52"/>
      <x:c r="G253" s="53"/>
      <x:c r="K253" s="53" t="n">
        <x:f>IF(B253="ENTRADA",G253,0)</x:f>
        <x:v>0</x:v>
      </x:c>
      <x:c r="L253" s="53" t="n">
        <x:f>IF(OR(B253="CONSUMO",B253="SAÍDA"),G253,0)</x:f>
        <x:v>0</x:v>
      </x:c>
      <x:c r="M253" s="53" t="n">
        <x:f>IF(C253="Farinheira",'Regras e Listas'!$D$4,IF(C253="Colorífico",'Regras e Listas'!$D$5,IF(C253="Farinha para o Flotamil",'Regras e Listas'!$D$6,0)))</x:f>
        <x:v>0</x:v>
      </x:c>
      <x:c r="N253" s="53" t="n">
        <x:f>K253*M253</x:f>
        <x:v>0</x:v>
      </x:c>
      <x:c r="O253" s="53" t="n">
        <x:f>L253*M253</x:f>
        <x:v>0</x:v>
      </x:c>
      <x:c r="P253" t="str">
        <x:f>IF(OR(B253="CONSUMO",B253="SAÍDA"),IF(ISNUMBER(SEARCH("não seguiu FIFO",I253)),"NÃO CONFORME",IF(ISNUMBER(SEARCH("FIFO automático",I253)),"CONFORME","VERIFICAR")),"")</x:f>
      </x:c>
    </x:row>
    <x:row r="254">
      <x:c r="A254" s="52"/>
      <x:c r="G254" s="53"/>
      <x:c r="K254" s="53" t="n">
        <x:f>IF(B254="ENTRADA",G254,0)</x:f>
        <x:v>0</x:v>
      </x:c>
      <x:c r="L254" s="53" t="n">
        <x:f>IF(OR(B254="CONSUMO",B254="SAÍDA"),G254,0)</x:f>
        <x:v>0</x:v>
      </x:c>
      <x:c r="M254" s="53" t="n">
        <x:f>IF(C254="Farinheira",'Regras e Listas'!$D$4,IF(C254="Colorífico",'Regras e Listas'!$D$5,IF(C254="Farinha para o Flotamil",'Regras e Listas'!$D$6,0)))</x:f>
        <x:v>0</x:v>
      </x:c>
      <x:c r="N254" s="53" t="n">
        <x:f>K254*M254</x:f>
        <x:v>0</x:v>
      </x:c>
      <x:c r="O254" s="53" t="n">
        <x:f>L254*M254</x:f>
        <x:v>0</x:v>
      </x:c>
      <x:c r="P254" t="str">
        <x:f>IF(OR(B254="CONSUMO",B254="SAÍDA"),IF(ISNUMBER(SEARCH("não seguiu FIFO",I254)),"NÃO CONFORME",IF(ISNUMBER(SEARCH("FIFO automático",I254)),"CONFORME","VERIFICAR")),"")</x:f>
      </x:c>
    </x:row>
    <x:row r="255">
      <x:c r="A255" s="52"/>
      <x:c r="G255" s="53"/>
      <x:c r="K255" s="53" t="n">
        <x:f>IF(B255="ENTRADA",G255,0)</x:f>
        <x:v>0</x:v>
      </x:c>
      <x:c r="L255" s="53" t="n">
        <x:f>IF(OR(B255="CONSUMO",B255="SAÍDA"),G255,0)</x:f>
        <x:v>0</x:v>
      </x:c>
      <x:c r="M255" s="53" t="n">
        <x:f>IF(C255="Farinheira",'Regras e Listas'!$D$4,IF(C255="Colorífico",'Regras e Listas'!$D$5,IF(C255="Farinha para o Flotamil",'Regras e Listas'!$D$6,0)))</x:f>
        <x:v>0</x:v>
      </x:c>
      <x:c r="N255" s="53" t="n">
        <x:f>K255*M255</x:f>
        <x:v>0</x:v>
      </x:c>
      <x:c r="O255" s="53" t="n">
        <x:f>L255*M255</x:f>
        <x:v>0</x:v>
      </x:c>
      <x:c r="P255" t="str">
        <x:f>IF(OR(B255="CONSUMO",B255="SAÍDA"),IF(ISNUMBER(SEARCH("não seguiu FIFO",I255)),"NÃO CONFORME",IF(ISNUMBER(SEARCH("FIFO automático",I255)),"CONFORME","VERIFICAR")),"")</x:f>
      </x:c>
    </x:row>
    <x:row r="256">
      <x:c r="A256" s="52"/>
      <x:c r="G256" s="53"/>
      <x:c r="K256" s="53" t="n">
        <x:f>IF(B256="ENTRADA",G256,0)</x:f>
        <x:v>0</x:v>
      </x:c>
      <x:c r="L256" s="53" t="n">
        <x:f>IF(OR(B256="CONSUMO",B256="SAÍDA"),G256,0)</x:f>
        <x:v>0</x:v>
      </x:c>
      <x:c r="M256" s="53" t="n">
        <x:f>IF(C256="Farinheira",'Regras e Listas'!$D$4,IF(C256="Colorífico",'Regras e Listas'!$D$5,IF(C256="Farinha para o Flotamil",'Regras e Listas'!$D$6,0)))</x:f>
        <x:v>0</x:v>
      </x:c>
      <x:c r="N256" s="53" t="n">
        <x:f>K256*M256</x:f>
        <x:v>0</x:v>
      </x:c>
      <x:c r="O256" s="53" t="n">
        <x:f>L256*M256</x:f>
        <x:v>0</x:v>
      </x:c>
      <x:c r="P256" t="str">
        <x:f>IF(OR(B256="CONSUMO",B256="SAÍDA"),IF(ISNUMBER(SEARCH("não seguiu FIFO",I256)),"NÃO CONFORME",IF(ISNUMBER(SEARCH("FIFO automático",I256)),"CONFORME","VERIFICAR")),"")</x:f>
      </x:c>
    </x:row>
    <x:row r="257">
      <x:c r="A257" s="52"/>
      <x:c r="G257" s="53"/>
      <x:c r="K257" s="53" t="n">
        <x:f>IF(B257="ENTRADA",G257,0)</x:f>
        <x:v>0</x:v>
      </x:c>
      <x:c r="L257" s="53" t="n">
        <x:f>IF(OR(B257="CONSUMO",B257="SAÍDA"),G257,0)</x:f>
        <x:v>0</x:v>
      </x:c>
      <x:c r="M257" s="53" t="n">
        <x:f>IF(C257="Farinheira",'Regras e Listas'!$D$4,IF(C257="Colorífico",'Regras e Listas'!$D$5,IF(C257="Farinha para o Flotamil",'Regras e Listas'!$D$6,0)))</x:f>
        <x:v>0</x:v>
      </x:c>
      <x:c r="N257" s="53" t="n">
        <x:f>K257*M257</x:f>
        <x:v>0</x:v>
      </x:c>
      <x:c r="O257" s="53" t="n">
        <x:f>L257*M257</x:f>
        <x:v>0</x:v>
      </x:c>
      <x:c r="P257" t="str">
        <x:f>IF(OR(B257="CONSUMO",B257="SAÍDA"),IF(ISNUMBER(SEARCH("não seguiu FIFO",I257)),"NÃO CONFORME",IF(ISNUMBER(SEARCH("FIFO automático",I257)),"CONFORME","VERIFICAR")),"")</x:f>
      </x:c>
    </x:row>
    <x:row r="258">
      <x:c r="A258" s="52"/>
      <x:c r="G258" s="53"/>
      <x:c r="K258" s="53" t="n">
        <x:f>IF(B258="ENTRADA",G258,0)</x:f>
        <x:v>0</x:v>
      </x:c>
      <x:c r="L258" s="53" t="n">
        <x:f>IF(OR(B258="CONSUMO",B258="SAÍDA"),G258,0)</x:f>
        <x:v>0</x:v>
      </x:c>
      <x:c r="M258" s="53" t="n">
        <x:f>IF(C258="Farinheira",'Regras e Listas'!$D$4,IF(C258="Colorífico",'Regras e Listas'!$D$5,IF(C258="Farinha para o Flotamil",'Regras e Listas'!$D$6,0)))</x:f>
        <x:v>0</x:v>
      </x:c>
      <x:c r="N258" s="53" t="n">
        <x:f>K258*M258</x:f>
        <x:v>0</x:v>
      </x:c>
      <x:c r="O258" s="53" t="n">
        <x:f>L258*M258</x:f>
        <x:v>0</x:v>
      </x:c>
      <x:c r="P258" t="str">
        <x:f>IF(OR(B258="CONSUMO",B258="SAÍDA"),IF(ISNUMBER(SEARCH("não seguiu FIFO",I258)),"NÃO CONFORME",IF(ISNUMBER(SEARCH("FIFO automático",I258)),"CONFORME","VERIFICAR")),"")</x:f>
      </x:c>
    </x:row>
    <x:row r="259">
      <x:c r="A259" s="52"/>
      <x:c r="G259" s="53"/>
      <x:c r="K259" s="53" t="n">
        <x:f>IF(B259="ENTRADA",G259,0)</x:f>
        <x:v>0</x:v>
      </x:c>
      <x:c r="L259" s="53" t="n">
        <x:f>IF(OR(B259="CONSUMO",B259="SAÍDA"),G259,0)</x:f>
        <x:v>0</x:v>
      </x:c>
      <x:c r="M259" s="53" t="n">
        <x:f>IF(C259="Farinheira",'Regras e Listas'!$D$4,IF(C259="Colorífico",'Regras e Listas'!$D$5,IF(C259="Farinha para o Flotamil",'Regras e Listas'!$D$6,0)))</x:f>
        <x:v>0</x:v>
      </x:c>
      <x:c r="N259" s="53" t="n">
        <x:f>K259*M259</x:f>
        <x:v>0</x:v>
      </x:c>
      <x:c r="O259" s="53" t="n">
        <x:f>L259*M259</x:f>
        <x:v>0</x:v>
      </x:c>
      <x:c r="P259" t="str">
        <x:f>IF(OR(B259="CONSUMO",B259="SAÍDA"),IF(ISNUMBER(SEARCH("não seguiu FIFO",I259)),"NÃO CONFORME",IF(ISNUMBER(SEARCH("FIFO automático",I259)),"CONFORME","VERIFICAR")),"")</x:f>
      </x:c>
    </x:row>
    <x:row r="260">
      <x:c r="A260" s="52"/>
      <x:c r="G260" s="53"/>
      <x:c r="K260" s="53" t="n">
        <x:f>IF(B260="ENTRADA",G260,0)</x:f>
        <x:v>0</x:v>
      </x:c>
      <x:c r="L260" s="53" t="n">
        <x:f>IF(OR(B260="CONSUMO",B260="SAÍDA"),G260,0)</x:f>
        <x:v>0</x:v>
      </x:c>
      <x:c r="M260" s="53" t="n">
        <x:f>IF(C260="Farinheira",'Regras e Listas'!$D$4,IF(C260="Colorífico",'Regras e Listas'!$D$5,IF(C260="Farinha para o Flotamil",'Regras e Listas'!$D$6,0)))</x:f>
        <x:v>0</x:v>
      </x:c>
      <x:c r="N260" s="53" t="n">
        <x:f>K260*M260</x:f>
        <x:v>0</x:v>
      </x:c>
      <x:c r="O260" s="53" t="n">
        <x:f>L260*M260</x:f>
        <x:v>0</x:v>
      </x:c>
      <x:c r="P260" t="str">
        <x:f>IF(OR(B260="CONSUMO",B260="SAÍDA"),IF(ISNUMBER(SEARCH("não seguiu FIFO",I260)),"NÃO CONFORME",IF(ISNUMBER(SEARCH("FIFO automático",I260)),"CONFORME","VERIFICAR")),"")</x:f>
      </x:c>
    </x:row>
    <x:row r="261">
      <x:c r="A261" s="52"/>
      <x:c r="G261" s="53"/>
      <x:c r="K261" s="53" t="n">
        <x:f>IF(B261="ENTRADA",G261,0)</x:f>
        <x:v>0</x:v>
      </x:c>
      <x:c r="L261" s="53" t="n">
        <x:f>IF(OR(B261="CONSUMO",B261="SAÍDA"),G261,0)</x:f>
        <x:v>0</x:v>
      </x:c>
      <x:c r="M261" s="53" t="n">
        <x:f>IF(C261="Farinheira",'Regras e Listas'!$D$4,IF(C261="Colorífico",'Regras e Listas'!$D$5,IF(C261="Farinha para o Flotamil",'Regras e Listas'!$D$6,0)))</x:f>
        <x:v>0</x:v>
      </x:c>
      <x:c r="N261" s="53" t="n">
        <x:f>K261*M261</x:f>
        <x:v>0</x:v>
      </x:c>
      <x:c r="O261" s="53" t="n">
        <x:f>L261*M261</x:f>
        <x:v>0</x:v>
      </x:c>
      <x:c r="P261" t="str">
        <x:f>IF(OR(B261="CONSUMO",B261="SAÍDA"),IF(ISNUMBER(SEARCH("não seguiu FIFO",I261)),"NÃO CONFORME",IF(ISNUMBER(SEARCH("FIFO automático",I261)),"CONFORME","VERIFICAR")),"")</x:f>
      </x:c>
    </x:row>
    <x:row r="262">
      <x:c r="A262" s="52"/>
      <x:c r="G262" s="53"/>
      <x:c r="K262" s="53" t="n">
        <x:f>IF(B262="ENTRADA",G262,0)</x:f>
        <x:v>0</x:v>
      </x:c>
      <x:c r="L262" s="53" t="n">
        <x:f>IF(OR(B262="CONSUMO",B262="SAÍDA"),G262,0)</x:f>
        <x:v>0</x:v>
      </x:c>
      <x:c r="M262" s="53" t="n">
        <x:f>IF(C262="Farinheira",'Regras e Listas'!$D$4,IF(C262="Colorífico",'Regras e Listas'!$D$5,IF(C262="Farinha para o Flotamil",'Regras e Listas'!$D$6,0)))</x:f>
        <x:v>0</x:v>
      </x:c>
      <x:c r="N262" s="53" t="n">
        <x:f>K262*M262</x:f>
        <x:v>0</x:v>
      </x:c>
      <x:c r="O262" s="53" t="n">
        <x:f>L262*M262</x:f>
        <x:v>0</x:v>
      </x:c>
      <x:c r="P262" t="str">
        <x:f>IF(OR(B262="CONSUMO",B262="SAÍDA"),IF(ISNUMBER(SEARCH("não seguiu FIFO",I262)),"NÃO CONFORME",IF(ISNUMBER(SEARCH("FIFO automático",I262)),"CONFORME","VERIFICAR")),"")</x:f>
      </x:c>
    </x:row>
    <x:row r="263">
      <x:c r="A263" s="52"/>
      <x:c r="G263" s="53"/>
      <x:c r="K263" s="53" t="n">
        <x:f>IF(B263="ENTRADA",G263,0)</x:f>
        <x:v>0</x:v>
      </x:c>
      <x:c r="L263" s="53" t="n">
        <x:f>IF(OR(B263="CONSUMO",B263="SAÍDA"),G263,0)</x:f>
        <x:v>0</x:v>
      </x:c>
      <x:c r="M263" s="53" t="n">
        <x:f>IF(C263="Farinheira",'Regras e Listas'!$D$4,IF(C263="Colorífico",'Regras e Listas'!$D$5,IF(C263="Farinha para o Flotamil",'Regras e Listas'!$D$6,0)))</x:f>
        <x:v>0</x:v>
      </x:c>
      <x:c r="N263" s="53" t="n">
        <x:f>K263*M263</x:f>
        <x:v>0</x:v>
      </x:c>
      <x:c r="O263" s="53" t="n">
        <x:f>L263*M263</x:f>
        <x:v>0</x:v>
      </x:c>
      <x:c r="P263" t="str">
        <x:f>IF(OR(B263="CONSUMO",B263="SAÍDA"),IF(ISNUMBER(SEARCH("não seguiu FIFO",I263)),"NÃO CONFORME",IF(ISNUMBER(SEARCH("FIFO automático",I263)),"CONFORME","VERIFICAR")),"")</x:f>
      </x:c>
    </x:row>
    <x:row r="264">
      <x:c r="A264" s="52"/>
      <x:c r="G264" s="53"/>
      <x:c r="K264" s="53" t="n">
        <x:f>IF(B264="ENTRADA",G264,0)</x:f>
        <x:v>0</x:v>
      </x:c>
      <x:c r="L264" s="53" t="n">
        <x:f>IF(OR(B264="CONSUMO",B264="SAÍDA"),G264,0)</x:f>
        <x:v>0</x:v>
      </x:c>
      <x:c r="M264" s="53" t="n">
        <x:f>IF(C264="Farinheira",'Regras e Listas'!$D$4,IF(C264="Colorífico",'Regras e Listas'!$D$5,IF(C264="Farinha para o Flotamil",'Regras e Listas'!$D$6,0)))</x:f>
        <x:v>0</x:v>
      </x:c>
      <x:c r="N264" s="53" t="n">
        <x:f>K264*M264</x:f>
        <x:v>0</x:v>
      </x:c>
      <x:c r="O264" s="53" t="n">
        <x:f>L264*M264</x:f>
        <x:v>0</x:v>
      </x:c>
      <x:c r="P264" t="str">
        <x:f>IF(OR(B264="CONSUMO",B264="SAÍDA"),IF(ISNUMBER(SEARCH("não seguiu FIFO",I264)),"NÃO CONFORME",IF(ISNUMBER(SEARCH("FIFO automático",I264)),"CONFORME","VERIFICAR")),"")</x:f>
      </x:c>
    </x:row>
    <x:row r="265">
      <x:c r="A265" s="52"/>
      <x:c r="G265" s="53"/>
      <x:c r="K265" s="53" t="n">
        <x:f>IF(B265="ENTRADA",G265,0)</x:f>
        <x:v>0</x:v>
      </x:c>
      <x:c r="L265" s="53" t="n">
        <x:f>IF(OR(B265="CONSUMO",B265="SAÍDA"),G265,0)</x:f>
        <x:v>0</x:v>
      </x:c>
      <x:c r="M265" s="53" t="n">
        <x:f>IF(C265="Farinheira",'Regras e Listas'!$D$4,IF(C265="Colorífico",'Regras e Listas'!$D$5,IF(C265="Farinha para o Flotamil",'Regras e Listas'!$D$6,0)))</x:f>
        <x:v>0</x:v>
      </x:c>
      <x:c r="N265" s="53" t="n">
        <x:f>K265*M265</x:f>
        <x:v>0</x:v>
      </x:c>
      <x:c r="O265" s="53" t="n">
        <x:f>L265*M265</x:f>
        <x:v>0</x:v>
      </x:c>
      <x:c r="P265" t="str">
        <x:f>IF(OR(B265="CONSUMO",B265="SAÍDA"),IF(ISNUMBER(SEARCH("não seguiu FIFO",I265)),"NÃO CONFORME",IF(ISNUMBER(SEARCH("FIFO automático",I265)),"CONFORME","VERIFICAR")),"")</x:f>
      </x:c>
    </x:row>
    <x:row r="266">
      <x:c r="A266" s="52"/>
      <x:c r="G266" s="53"/>
      <x:c r="K266" s="53" t="n">
        <x:f>IF(B266="ENTRADA",G266,0)</x:f>
        <x:v>0</x:v>
      </x:c>
      <x:c r="L266" s="53" t="n">
        <x:f>IF(OR(B266="CONSUMO",B266="SAÍDA"),G266,0)</x:f>
        <x:v>0</x:v>
      </x:c>
      <x:c r="M266" s="53" t="n">
        <x:f>IF(C266="Farinheira",'Regras e Listas'!$D$4,IF(C266="Colorífico",'Regras e Listas'!$D$5,IF(C266="Farinha para o Flotamil",'Regras e Listas'!$D$6,0)))</x:f>
        <x:v>0</x:v>
      </x:c>
      <x:c r="N266" s="53" t="n">
        <x:f>K266*M266</x:f>
        <x:v>0</x:v>
      </x:c>
      <x:c r="O266" s="53" t="n">
        <x:f>L266*M266</x:f>
        <x:v>0</x:v>
      </x:c>
      <x:c r="P266" t="str">
        <x:f>IF(OR(B266="CONSUMO",B266="SAÍDA"),IF(ISNUMBER(SEARCH("não seguiu FIFO",I266)),"NÃO CONFORME",IF(ISNUMBER(SEARCH("FIFO automático",I266)),"CONFORME","VERIFICAR")),"")</x:f>
      </x:c>
    </x:row>
    <x:row r="267">
      <x:c r="A267" s="52"/>
      <x:c r="G267" s="53"/>
      <x:c r="K267" s="53" t="n">
        <x:f>IF(B267="ENTRADA",G267,0)</x:f>
        <x:v>0</x:v>
      </x:c>
      <x:c r="L267" s="53" t="n">
        <x:f>IF(OR(B267="CONSUMO",B267="SAÍDA"),G267,0)</x:f>
        <x:v>0</x:v>
      </x:c>
      <x:c r="M267" s="53" t="n">
        <x:f>IF(C267="Farinheira",'Regras e Listas'!$D$4,IF(C267="Colorífico",'Regras e Listas'!$D$5,IF(C267="Farinha para o Flotamil",'Regras e Listas'!$D$6,0)))</x:f>
        <x:v>0</x:v>
      </x:c>
      <x:c r="N267" s="53" t="n">
        <x:f>K267*M267</x:f>
        <x:v>0</x:v>
      </x:c>
      <x:c r="O267" s="53" t="n">
        <x:f>L267*M267</x:f>
        <x:v>0</x:v>
      </x:c>
      <x:c r="P267" t="str">
        <x:f>IF(OR(B267="CONSUMO",B267="SAÍDA"),IF(ISNUMBER(SEARCH("não seguiu FIFO",I267)),"NÃO CONFORME",IF(ISNUMBER(SEARCH("FIFO automático",I267)),"CONFORME","VERIFICAR")),"")</x:f>
      </x:c>
    </x:row>
    <x:row r="268">
      <x:c r="A268" s="52"/>
      <x:c r="G268" s="53"/>
      <x:c r="K268" s="53" t="n">
        <x:f>IF(B268="ENTRADA",G268,0)</x:f>
        <x:v>0</x:v>
      </x:c>
      <x:c r="L268" s="53" t="n">
        <x:f>IF(OR(B268="CONSUMO",B268="SAÍDA"),G268,0)</x:f>
        <x:v>0</x:v>
      </x:c>
      <x:c r="M268" s="53" t="n">
        <x:f>IF(C268="Farinheira",'Regras e Listas'!$D$4,IF(C268="Colorífico",'Regras e Listas'!$D$5,IF(C268="Farinha para o Flotamil",'Regras e Listas'!$D$6,0)))</x:f>
        <x:v>0</x:v>
      </x:c>
      <x:c r="N268" s="53" t="n">
        <x:f>K268*M268</x:f>
        <x:v>0</x:v>
      </x:c>
      <x:c r="O268" s="53" t="n">
        <x:f>L268*M268</x:f>
        <x:v>0</x:v>
      </x:c>
      <x:c r="P268" t="str">
        <x:f>IF(OR(B268="CONSUMO",B268="SAÍDA"),IF(ISNUMBER(SEARCH("não seguiu FIFO",I268)),"NÃO CONFORME",IF(ISNUMBER(SEARCH("FIFO automático",I268)),"CONFORME","VERIFICAR")),"")</x:f>
      </x:c>
    </x:row>
    <x:row r="269">
      <x:c r="A269" s="52"/>
      <x:c r="G269" s="53"/>
      <x:c r="K269" s="53" t="n">
        <x:f>IF(B269="ENTRADA",G269,0)</x:f>
        <x:v>0</x:v>
      </x:c>
      <x:c r="L269" s="53" t="n">
        <x:f>IF(OR(B269="CONSUMO",B269="SAÍDA"),G269,0)</x:f>
        <x:v>0</x:v>
      </x:c>
      <x:c r="M269" s="53" t="n">
        <x:f>IF(C269="Farinheira",'Regras e Listas'!$D$4,IF(C269="Colorífico",'Regras e Listas'!$D$5,IF(C269="Farinha para o Flotamil",'Regras e Listas'!$D$6,0)))</x:f>
        <x:v>0</x:v>
      </x:c>
      <x:c r="N269" s="53" t="n">
        <x:f>K269*M269</x:f>
        <x:v>0</x:v>
      </x:c>
      <x:c r="O269" s="53" t="n">
        <x:f>L269*M269</x:f>
        <x:v>0</x:v>
      </x:c>
      <x:c r="P269" t="str">
        <x:f>IF(OR(B269="CONSUMO",B269="SAÍDA"),IF(ISNUMBER(SEARCH("não seguiu FIFO",I269)),"NÃO CONFORME",IF(ISNUMBER(SEARCH("FIFO automático",I269)),"CONFORME","VERIFICAR")),"")</x:f>
      </x:c>
    </x:row>
    <x:row r="270">
      <x:c r="A270" s="52"/>
      <x:c r="G270" s="53"/>
      <x:c r="K270" s="53" t="n">
        <x:f>IF(B270="ENTRADA",G270,0)</x:f>
        <x:v>0</x:v>
      </x:c>
      <x:c r="L270" s="53" t="n">
        <x:f>IF(OR(B270="CONSUMO",B270="SAÍDA"),G270,0)</x:f>
        <x:v>0</x:v>
      </x:c>
      <x:c r="M270" s="53" t="n">
        <x:f>IF(C270="Farinheira",'Regras e Listas'!$D$4,IF(C270="Colorífico",'Regras e Listas'!$D$5,IF(C270="Farinha para o Flotamil",'Regras e Listas'!$D$6,0)))</x:f>
        <x:v>0</x:v>
      </x:c>
      <x:c r="N270" s="53" t="n">
        <x:f>K270*M270</x:f>
        <x:v>0</x:v>
      </x:c>
      <x:c r="O270" s="53" t="n">
        <x:f>L270*M270</x:f>
        <x:v>0</x:v>
      </x:c>
      <x:c r="P270" t="str">
        <x:f>IF(OR(B270="CONSUMO",B270="SAÍDA"),IF(ISNUMBER(SEARCH("não seguiu FIFO",I270)),"NÃO CONFORME",IF(ISNUMBER(SEARCH("FIFO automático",I270)),"CONFORME","VERIFICAR")),"")</x:f>
      </x:c>
    </x:row>
    <x:row r="271">
      <x:c r="A271" s="52"/>
      <x:c r="G271" s="53"/>
      <x:c r="K271" s="53" t="n">
        <x:f>IF(B271="ENTRADA",G271,0)</x:f>
        <x:v>0</x:v>
      </x:c>
      <x:c r="L271" s="53" t="n">
        <x:f>IF(OR(B271="CONSUMO",B271="SAÍDA"),G271,0)</x:f>
        <x:v>0</x:v>
      </x:c>
      <x:c r="M271" s="53" t="n">
        <x:f>IF(C271="Farinheira",'Regras e Listas'!$D$4,IF(C271="Colorífico",'Regras e Listas'!$D$5,IF(C271="Farinha para o Flotamil",'Regras e Listas'!$D$6,0)))</x:f>
        <x:v>0</x:v>
      </x:c>
      <x:c r="N271" s="53" t="n">
        <x:f>K271*M271</x:f>
        <x:v>0</x:v>
      </x:c>
      <x:c r="O271" s="53" t="n">
        <x:f>L271*M271</x:f>
        <x:v>0</x:v>
      </x:c>
      <x:c r="P271" t="str">
        <x:f>IF(OR(B271="CONSUMO",B271="SAÍDA"),IF(ISNUMBER(SEARCH("não seguiu FIFO",I271)),"NÃO CONFORME",IF(ISNUMBER(SEARCH("FIFO automático",I271)),"CONFORME","VERIFICAR")),"")</x:f>
      </x:c>
    </x:row>
    <x:row r="272">
      <x:c r="A272" s="52"/>
      <x:c r="G272" s="53"/>
      <x:c r="K272" s="53" t="n">
        <x:f>IF(B272="ENTRADA",G272,0)</x:f>
        <x:v>0</x:v>
      </x:c>
      <x:c r="L272" s="53" t="n">
        <x:f>IF(OR(B272="CONSUMO",B272="SAÍDA"),G272,0)</x:f>
        <x:v>0</x:v>
      </x:c>
      <x:c r="M272" s="53" t="n">
        <x:f>IF(C272="Farinheira",'Regras e Listas'!$D$4,IF(C272="Colorífico",'Regras e Listas'!$D$5,IF(C272="Farinha para o Flotamil",'Regras e Listas'!$D$6,0)))</x:f>
        <x:v>0</x:v>
      </x:c>
      <x:c r="N272" s="53" t="n">
        <x:f>K272*M272</x:f>
        <x:v>0</x:v>
      </x:c>
      <x:c r="O272" s="53" t="n">
        <x:f>L272*M272</x:f>
        <x:v>0</x:v>
      </x:c>
      <x:c r="P272" t="str">
        <x:f>IF(OR(B272="CONSUMO",B272="SAÍDA"),IF(ISNUMBER(SEARCH("não seguiu FIFO",I272)),"NÃO CONFORME",IF(ISNUMBER(SEARCH("FIFO automático",I272)),"CONFORME","VERIFICAR")),"")</x:f>
      </x:c>
    </x:row>
    <x:row r="273">
      <x:c r="A273" s="52"/>
      <x:c r="G273" s="53"/>
      <x:c r="K273" s="53" t="n">
        <x:f>IF(B273="ENTRADA",G273,0)</x:f>
        <x:v>0</x:v>
      </x:c>
      <x:c r="L273" s="53" t="n">
        <x:f>IF(OR(B273="CONSUMO",B273="SAÍDA"),G273,0)</x:f>
        <x:v>0</x:v>
      </x:c>
      <x:c r="M273" s="53" t="n">
        <x:f>IF(C273="Farinheira",'Regras e Listas'!$D$4,IF(C273="Colorífico",'Regras e Listas'!$D$5,IF(C273="Farinha para o Flotamil",'Regras e Listas'!$D$6,0)))</x:f>
        <x:v>0</x:v>
      </x:c>
      <x:c r="N273" s="53" t="n">
        <x:f>K273*M273</x:f>
        <x:v>0</x:v>
      </x:c>
      <x:c r="O273" s="53" t="n">
        <x:f>L273*M273</x:f>
        <x:v>0</x:v>
      </x:c>
      <x:c r="P273" t="str">
        <x:f>IF(OR(B273="CONSUMO",B273="SAÍDA"),IF(ISNUMBER(SEARCH("não seguiu FIFO",I273)),"NÃO CONFORME",IF(ISNUMBER(SEARCH("FIFO automático",I273)),"CONFORME","VERIFICAR")),"")</x:f>
      </x:c>
    </x:row>
    <x:row r="274">
      <x:c r="A274" s="52"/>
      <x:c r="G274" s="53"/>
      <x:c r="K274" s="53" t="n">
        <x:f>IF(B274="ENTRADA",G274,0)</x:f>
        <x:v>0</x:v>
      </x:c>
      <x:c r="L274" s="53" t="n">
        <x:f>IF(OR(B274="CONSUMO",B274="SAÍDA"),G274,0)</x:f>
        <x:v>0</x:v>
      </x:c>
      <x:c r="M274" s="53" t="n">
        <x:f>IF(C274="Farinheira",'Regras e Listas'!$D$4,IF(C274="Colorífico",'Regras e Listas'!$D$5,IF(C274="Farinha para o Flotamil",'Regras e Listas'!$D$6,0)))</x:f>
        <x:v>0</x:v>
      </x:c>
      <x:c r="N274" s="53" t="n">
        <x:f>K274*M274</x:f>
        <x:v>0</x:v>
      </x:c>
      <x:c r="O274" s="53" t="n">
        <x:f>L274*M274</x:f>
        <x:v>0</x:v>
      </x:c>
      <x:c r="P274" t="str">
        <x:f>IF(OR(B274="CONSUMO",B274="SAÍDA"),IF(ISNUMBER(SEARCH("não seguiu FIFO",I274)),"NÃO CONFORME",IF(ISNUMBER(SEARCH("FIFO automático",I274)),"CONFORME","VERIFICAR")),"")</x:f>
      </x:c>
    </x:row>
    <x:row r="275">
      <x:c r="A275" s="52"/>
      <x:c r="G275" s="53"/>
      <x:c r="K275" s="53" t="n">
        <x:f>IF(B275="ENTRADA",G275,0)</x:f>
        <x:v>0</x:v>
      </x:c>
      <x:c r="L275" s="53" t="n">
        <x:f>IF(OR(B275="CONSUMO",B275="SAÍDA"),G275,0)</x:f>
        <x:v>0</x:v>
      </x:c>
      <x:c r="M275" s="53" t="n">
        <x:f>IF(C275="Farinheira",'Regras e Listas'!$D$4,IF(C275="Colorífico",'Regras e Listas'!$D$5,IF(C275="Farinha para o Flotamil",'Regras e Listas'!$D$6,0)))</x:f>
        <x:v>0</x:v>
      </x:c>
      <x:c r="N275" s="53" t="n">
        <x:f>K275*M275</x:f>
        <x:v>0</x:v>
      </x:c>
      <x:c r="O275" s="53" t="n">
        <x:f>L275*M275</x:f>
        <x:v>0</x:v>
      </x:c>
      <x:c r="P275" t="str">
        <x:f>IF(OR(B275="CONSUMO",B275="SAÍDA"),IF(ISNUMBER(SEARCH("não seguiu FIFO",I275)),"NÃO CONFORME",IF(ISNUMBER(SEARCH("FIFO automático",I275)),"CONFORME","VERIFICAR")),"")</x:f>
      </x:c>
    </x:row>
    <x:row r="276">
      <x:c r="A276" s="52"/>
      <x:c r="G276" s="53"/>
      <x:c r="K276" s="53" t="n">
        <x:f>IF(B276="ENTRADA",G276,0)</x:f>
        <x:v>0</x:v>
      </x:c>
      <x:c r="L276" s="53" t="n">
        <x:f>IF(OR(B276="CONSUMO",B276="SAÍDA"),G276,0)</x:f>
        <x:v>0</x:v>
      </x:c>
      <x:c r="M276" s="53" t="n">
        <x:f>IF(C276="Farinheira",'Regras e Listas'!$D$4,IF(C276="Colorífico",'Regras e Listas'!$D$5,IF(C276="Farinha para o Flotamil",'Regras e Listas'!$D$6,0)))</x:f>
        <x:v>0</x:v>
      </x:c>
      <x:c r="N276" s="53" t="n">
        <x:f>K276*M276</x:f>
        <x:v>0</x:v>
      </x:c>
      <x:c r="O276" s="53" t="n">
        <x:f>L276*M276</x:f>
        <x:v>0</x:v>
      </x:c>
      <x:c r="P276" t="str">
        <x:f>IF(OR(B276="CONSUMO",B276="SAÍDA"),IF(ISNUMBER(SEARCH("não seguiu FIFO",I276)),"NÃO CONFORME",IF(ISNUMBER(SEARCH("FIFO automático",I276)),"CONFORME","VERIFICAR")),"")</x:f>
      </x:c>
    </x:row>
    <x:row r="277">
      <x:c r="A277" s="52"/>
      <x:c r="G277" s="53"/>
      <x:c r="K277" s="53" t="n">
        <x:f>IF(B277="ENTRADA",G277,0)</x:f>
        <x:v>0</x:v>
      </x:c>
      <x:c r="L277" s="53" t="n">
        <x:f>IF(OR(B277="CONSUMO",B277="SAÍDA"),G277,0)</x:f>
        <x:v>0</x:v>
      </x:c>
      <x:c r="M277" s="53" t="n">
        <x:f>IF(C277="Farinheira",'Regras e Listas'!$D$4,IF(C277="Colorífico",'Regras e Listas'!$D$5,IF(C277="Farinha para o Flotamil",'Regras e Listas'!$D$6,0)))</x:f>
        <x:v>0</x:v>
      </x:c>
      <x:c r="N277" s="53" t="n">
        <x:f>K277*M277</x:f>
        <x:v>0</x:v>
      </x:c>
      <x:c r="O277" s="53" t="n">
        <x:f>L277*M277</x:f>
        <x:v>0</x:v>
      </x:c>
      <x:c r="P277" t="str">
        <x:f>IF(OR(B277="CONSUMO",B277="SAÍDA"),IF(ISNUMBER(SEARCH("não seguiu FIFO",I277)),"NÃO CONFORME",IF(ISNUMBER(SEARCH("FIFO automático",I277)),"CONFORME","VERIFICAR")),"")</x:f>
      </x:c>
    </x:row>
    <x:row r="278">
      <x:c r="A278" s="52"/>
      <x:c r="G278" s="53"/>
      <x:c r="K278" s="53" t="n">
        <x:f>IF(B278="ENTRADA",G278,0)</x:f>
        <x:v>0</x:v>
      </x:c>
      <x:c r="L278" s="53" t="n">
        <x:f>IF(OR(B278="CONSUMO",B278="SAÍDA"),G278,0)</x:f>
        <x:v>0</x:v>
      </x:c>
      <x:c r="M278" s="53" t="n">
        <x:f>IF(C278="Farinheira",'Regras e Listas'!$D$4,IF(C278="Colorífico",'Regras e Listas'!$D$5,IF(C278="Farinha para o Flotamil",'Regras e Listas'!$D$6,0)))</x:f>
        <x:v>0</x:v>
      </x:c>
      <x:c r="N278" s="53" t="n">
        <x:f>K278*M278</x:f>
        <x:v>0</x:v>
      </x:c>
      <x:c r="O278" s="53" t="n">
        <x:f>L278*M278</x:f>
        <x:v>0</x:v>
      </x:c>
      <x:c r="P278" t="str">
        <x:f>IF(OR(B278="CONSUMO",B278="SAÍDA"),IF(ISNUMBER(SEARCH("não seguiu FIFO",I278)),"NÃO CONFORME",IF(ISNUMBER(SEARCH("FIFO automático",I278)),"CONFORME","VERIFICAR")),"")</x:f>
      </x:c>
    </x:row>
    <x:row r="279">
      <x:c r="A279" s="52"/>
      <x:c r="G279" s="53"/>
      <x:c r="K279" s="53" t="n">
        <x:f>IF(B279="ENTRADA",G279,0)</x:f>
        <x:v>0</x:v>
      </x:c>
      <x:c r="L279" s="53" t="n">
        <x:f>IF(OR(B279="CONSUMO",B279="SAÍDA"),G279,0)</x:f>
        <x:v>0</x:v>
      </x:c>
      <x:c r="M279" s="53" t="n">
        <x:f>IF(C279="Farinheira",'Regras e Listas'!$D$4,IF(C279="Colorífico",'Regras e Listas'!$D$5,IF(C279="Farinha para o Flotamil",'Regras e Listas'!$D$6,0)))</x:f>
        <x:v>0</x:v>
      </x:c>
      <x:c r="N279" s="53" t="n">
        <x:f>K279*M279</x:f>
        <x:v>0</x:v>
      </x:c>
      <x:c r="O279" s="53" t="n">
        <x:f>L279*M279</x:f>
        <x:v>0</x:v>
      </x:c>
      <x:c r="P279" t="str">
        <x:f>IF(OR(B279="CONSUMO",B279="SAÍDA"),IF(ISNUMBER(SEARCH("não seguiu FIFO",I279)),"NÃO CONFORME",IF(ISNUMBER(SEARCH("FIFO automático",I279)),"CONFORME","VERIFICAR")),"")</x:f>
      </x:c>
    </x:row>
    <x:row r="280">
      <x:c r="A280" s="52"/>
      <x:c r="G280" s="53"/>
      <x:c r="K280" s="53" t="n">
        <x:f>IF(B280="ENTRADA",G280,0)</x:f>
        <x:v>0</x:v>
      </x:c>
      <x:c r="L280" s="53" t="n">
        <x:f>IF(OR(B280="CONSUMO",B280="SAÍDA"),G280,0)</x:f>
        <x:v>0</x:v>
      </x:c>
      <x:c r="M280" s="53" t="n">
        <x:f>IF(C280="Farinheira",'Regras e Listas'!$D$4,IF(C280="Colorífico",'Regras e Listas'!$D$5,IF(C280="Farinha para o Flotamil",'Regras e Listas'!$D$6,0)))</x:f>
        <x:v>0</x:v>
      </x:c>
      <x:c r="N280" s="53" t="n">
        <x:f>K280*M280</x:f>
        <x:v>0</x:v>
      </x:c>
      <x:c r="O280" s="53" t="n">
        <x:f>L280*M280</x:f>
        <x:v>0</x:v>
      </x:c>
      <x:c r="P280" t="str">
        <x:f>IF(OR(B280="CONSUMO",B280="SAÍDA"),IF(ISNUMBER(SEARCH("não seguiu FIFO",I280)),"NÃO CONFORME",IF(ISNUMBER(SEARCH("FIFO automático",I280)),"CONFORME","VERIFICAR")),"")</x:f>
      </x:c>
    </x:row>
    <x:row r="281">
      <x:c r="A281" s="52"/>
      <x:c r="G281" s="53"/>
      <x:c r="K281" s="53" t="n">
        <x:f>IF(B281="ENTRADA",G281,0)</x:f>
        <x:v>0</x:v>
      </x:c>
      <x:c r="L281" s="53" t="n">
        <x:f>IF(OR(B281="CONSUMO",B281="SAÍDA"),G281,0)</x:f>
        <x:v>0</x:v>
      </x:c>
      <x:c r="M281" s="53" t="n">
        <x:f>IF(C281="Farinheira",'Regras e Listas'!$D$4,IF(C281="Colorífico",'Regras e Listas'!$D$5,IF(C281="Farinha para o Flotamil",'Regras e Listas'!$D$6,0)))</x:f>
        <x:v>0</x:v>
      </x:c>
      <x:c r="N281" s="53" t="n">
        <x:f>K281*M281</x:f>
        <x:v>0</x:v>
      </x:c>
      <x:c r="O281" s="53" t="n">
        <x:f>L281*M281</x:f>
        <x:v>0</x:v>
      </x:c>
      <x:c r="P281" t="str">
        <x:f>IF(OR(B281="CONSUMO",B281="SAÍDA"),IF(ISNUMBER(SEARCH("não seguiu FIFO",I281)),"NÃO CONFORME",IF(ISNUMBER(SEARCH("FIFO automático",I281)),"CONFORME","VERIFICAR")),"")</x:f>
      </x:c>
    </x:row>
    <x:row r="282">
      <x:c r="A282" s="52"/>
      <x:c r="G282" s="53"/>
      <x:c r="K282" s="53" t="n">
        <x:f>IF(B282="ENTRADA",G282,0)</x:f>
        <x:v>0</x:v>
      </x:c>
      <x:c r="L282" s="53" t="n">
        <x:f>IF(OR(B282="CONSUMO",B282="SAÍDA"),G282,0)</x:f>
        <x:v>0</x:v>
      </x:c>
      <x:c r="M282" s="53" t="n">
        <x:f>IF(C282="Farinheira",'Regras e Listas'!$D$4,IF(C282="Colorífico",'Regras e Listas'!$D$5,IF(C282="Farinha para o Flotamil",'Regras e Listas'!$D$6,0)))</x:f>
        <x:v>0</x:v>
      </x:c>
      <x:c r="N282" s="53" t="n">
        <x:f>K282*M282</x:f>
        <x:v>0</x:v>
      </x:c>
      <x:c r="O282" s="53" t="n">
        <x:f>L282*M282</x:f>
        <x:v>0</x:v>
      </x:c>
      <x:c r="P282" t="str">
        <x:f>IF(OR(B282="CONSUMO",B282="SAÍDA"),IF(ISNUMBER(SEARCH("não seguiu FIFO",I282)),"NÃO CONFORME",IF(ISNUMBER(SEARCH("FIFO automático",I282)),"CONFORME","VERIFICAR")),"")</x:f>
      </x:c>
    </x:row>
    <x:row r="283">
      <x:c r="A283" s="52"/>
      <x:c r="G283" s="53"/>
      <x:c r="K283" s="53" t="n">
        <x:f>IF(B283="ENTRADA",G283,0)</x:f>
        <x:v>0</x:v>
      </x:c>
      <x:c r="L283" s="53" t="n">
        <x:f>IF(OR(B283="CONSUMO",B283="SAÍDA"),G283,0)</x:f>
        <x:v>0</x:v>
      </x:c>
      <x:c r="M283" s="53" t="n">
        <x:f>IF(C283="Farinheira",'Regras e Listas'!$D$4,IF(C283="Colorífico",'Regras e Listas'!$D$5,IF(C283="Farinha para o Flotamil",'Regras e Listas'!$D$6,0)))</x:f>
        <x:v>0</x:v>
      </x:c>
      <x:c r="N283" s="53" t="n">
        <x:f>K283*M283</x:f>
        <x:v>0</x:v>
      </x:c>
      <x:c r="O283" s="53" t="n">
        <x:f>L283*M283</x:f>
        <x:v>0</x:v>
      </x:c>
      <x:c r="P283" t="str">
        <x:f>IF(OR(B283="CONSUMO",B283="SAÍDA"),IF(ISNUMBER(SEARCH("não seguiu FIFO",I283)),"NÃO CONFORME",IF(ISNUMBER(SEARCH("FIFO automático",I283)),"CONFORME","VERIFICAR")),"")</x:f>
      </x:c>
    </x:row>
    <x:row r="284">
      <x:c r="A284" s="52"/>
      <x:c r="G284" s="53"/>
      <x:c r="K284" s="53" t="n">
        <x:f>IF(B284="ENTRADA",G284,0)</x:f>
        <x:v>0</x:v>
      </x:c>
      <x:c r="L284" s="53" t="n">
        <x:f>IF(OR(B284="CONSUMO",B284="SAÍDA"),G284,0)</x:f>
        <x:v>0</x:v>
      </x:c>
      <x:c r="M284" s="53" t="n">
        <x:f>IF(C284="Farinheira",'Regras e Listas'!$D$4,IF(C284="Colorífico",'Regras e Listas'!$D$5,IF(C284="Farinha para o Flotamil",'Regras e Listas'!$D$6,0)))</x:f>
        <x:v>0</x:v>
      </x:c>
      <x:c r="N284" s="53" t="n">
        <x:f>K284*M284</x:f>
        <x:v>0</x:v>
      </x:c>
      <x:c r="O284" s="53" t="n">
        <x:f>L284*M284</x:f>
        <x:v>0</x:v>
      </x:c>
      <x:c r="P284" t="str">
        <x:f>IF(OR(B284="CONSUMO",B284="SAÍDA"),IF(ISNUMBER(SEARCH("não seguiu FIFO",I284)),"NÃO CONFORME",IF(ISNUMBER(SEARCH("FIFO automático",I284)),"CONFORME","VERIFICAR")),"")</x:f>
      </x:c>
    </x:row>
    <x:row r="285">
      <x:c r="A285" s="52"/>
      <x:c r="G285" s="53"/>
      <x:c r="K285" s="53" t="n">
        <x:f>IF(B285="ENTRADA",G285,0)</x:f>
        <x:v>0</x:v>
      </x:c>
      <x:c r="L285" s="53" t="n">
        <x:f>IF(OR(B285="CONSUMO",B285="SAÍDA"),G285,0)</x:f>
        <x:v>0</x:v>
      </x:c>
      <x:c r="M285" s="53" t="n">
        <x:f>IF(C285="Farinheira",'Regras e Listas'!$D$4,IF(C285="Colorífico",'Regras e Listas'!$D$5,IF(C285="Farinha para o Flotamil",'Regras e Listas'!$D$6,0)))</x:f>
        <x:v>0</x:v>
      </x:c>
      <x:c r="N285" s="53" t="n">
        <x:f>K285*M285</x:f>
        <x:v>0</x:v>
      </x:c>
      <x:c r="O285" s="53" t="n">
        <x:f>L285*M285</x:f>
        <x:v>0</x:v>
      </x:c>
      <x:c r="P285" t="str">
        <x:f>IF(OR(B285="CONSUMO",B285="SAÍDA"),IF(ISNUMBER(SEARCH("não seguiu FIFO",I285)),"NÃO CONFORME",IF(ISNUMBER(SEARCH("FIFO automático",I285)),"CONFORME","VERIFICAR")),"")</x:f>
      </x:c>
    </x:row>
    <x:row r="286">
      <x:c r="A286" s="52"/>
      <x:c r="G286" s="53"/>
      <x:c r="K286" s="53" t="n">
        <x:f>IF(B286="ENTRADA",G286,0)</x:f>
        <x:v>0</x:v>
      </x:c>
      <x:c r="L286" s="53" t="n">
        <x:f>IF(OR(B286="CONSUMO",B286="SAÍDA"),G286,0)</x:f>
        <x:v>0</x:v>
      </x:c>
      <x:c r="M286" s="53" t="n">
        <x:f>IF(C286="Farinheira",'Regras e Listas'!$D$4,IF(C286="Colorífico",'Regras e Listas'!$D$5,IF(C286="Farinha para o Flotamil",'Regras e Listas'!$D$6,0)))</x:f>
        <x:v>0</x:v>
      </x:c>
      <x:c r="N286" s="53" t="n">
        <x:f>K286*M286</x:f>
        <x:v>0</x:v>
      </x:c>
      <x:c r="O286" s="53" t="n">
        <x:f>L286*M286</x:f>
        <x:v>0</x:v>
      </x:c>
      <x:c r="P286" t="str">
        <x:f>IF(OR(B286="CONSUMO",B286="SAÍDA"),IF(ISNUMBER(SEARCH("não seguiu FIFO",I286)),"NÃO CONFORME",IF(ISNUMBER(SEARCH("FIFO automático",I286)),"CONFORME","VERIFICAR")),"")</x:f>
      </x:c>
    </x:row>
    <x:row r="287">
      <x:c r="A287" s="52"/>
      <x:c r="G287" s="53"/>
      <x:c r="K287" s="53" t="n">
        <x:f>IF(B287="ENTRADA",G287,0)</x:f>
        <x:v>0</x:v>
      </x:c>
      <x:c r="L287" s="53" t="n">
        <x:f>IF(OR(B287="CONSUMO",B287="SAÍDA"),G287,0)</x:f>
        <x:v>0</x:v>
      </x:c>
      <x:c r="M287" s="53" t="n">
        <x:f>IF(C287="Farinheira",'Regras e Listas'!$D$4,IF(C287="Colorífico",'Regras e Listas'!$D$5,IF(C287="Farinha para o Flotamil",'Regras e Listas'!$D$6,0)))</x:f>
        <x:v>0</x:v>
      </x:c>
      <x:c r="N287" s="53" t="n">
        <x:f>K287*M287</x:f>
        <x:v>0</x:v>
      </x:c>
      <x:c r="O287" s="53" t="n">
        <x:f>L287*M287</x:f>
        <x:v>0</x:v>
      </x:c>
      <x:c r="P287" t="str">
        <x:f>IF(OR(B287="CONSUMO",B287="SAÍDA"),IF(ISNUMBER(SEARCH("não seguiu FIFO",I287)),"NÃO CONFORME",IF(ISNUMBER(SEARCH("FIFO automático",I287)),"CONFORME","VERIFICAR")),"")</x:f>
      </x:c>
    </x:row>
    <x:row r="288">
      <x:c r="A288" s="52"/>
      <x:c r="G288" s="53"/>
      <x:c r="K288" s="53" t="n">
        <x:f>IF(B288="ENTRADA",G288,0)</x:f>
        <x:v>0</x:v>
      </x:c>
      <x:c r="L288" s="53" t="n">
        <x:f>IF(OR(B288="CONSUMO",B288="SAÍDA"),G288,0)</x:f>
        <x:v>0</x:v>
      </x:c>
      <x:c r="M288" s="53" t="n">
        <x:f>IF(C288="Farinheira",'Regras e Listas'!$D$4,IF(C288="Colorífico",'Regras e Listas'!$D$5,IF(C288="Farinha para o Flotamil",'Regras e Listas'!$D$6,0)))</x:f>
        <x:v>0</x:v>
      </x:c>
      <x:c r="N288" s="53" t="n">
        <x:f>K288*M288</x:f>
        <x:v>0</x:v>
      </x:c>
      <x:c r="O288" s="53" t="n">
        <x:f>L288*M288</x:f>
        <x:v>0</x:v>
      </x:c>
      <x:c r="P288" t="str">
        <x:f>IF(OR(B288="CONSUMO",B288="SAÍDA"),IF(ISNUMBER(SEARCH("não seguiu FIFO",I288)),"NÃO CONFORME",IF(ISNUMBER(SEARCH("FIFO automático",I288)),"CONFORME","VERIFICAR")),"")</x:f>
      </x:c>
    </x:row>
    <x:row r="289">
      <x:c r="A289" s="52"/>
      <x:c r="G289" s="53"/>
      <x:c r="K289" s="53" t="n">
        <x:f>IF(B289="ENTRADA",G289,0)</x:f>
        <x:v>0</x:v>
      </x:c>
      <x:c r="L289" s="53" t="n">
        <x:f>IF(OR(B289="CONSUMO",B289="SAÍDA"),G289,0)</x:f>
        <x:v>0</x:v>
      </x:c>
      <x:c r="M289" s="53" t="n">
        <x:f>IF(C289="Farinheira",'Regras e Listas'!$D$4,IF(C289="Colorífico",'Regras e Listas'!$D$5,IF(C289="Farinha para o Flotamil",'Regras e Listas'!$D$6,0)))</x:f>
        <x:v>0</x:v>
      </x:c>
      <x:c r="N289" s="53" t="n">
        <x:f>K289*M289</x:f>
        <x:v>0</x:v>
      </x:c>
      <x:c r="O289" s="53" t="n">
        <x:f>L289*M289</x:f>
        <x:v>0</x:v>
      </x:c>
      <x:c r="P289" t="str">
        <x:f>IF(OR(B289="CONSUMO",B289="SAÍDA"),IF(ISNUMBER(SEARCH("não seguiu FIFO",I289)),"NÃO CONFORME",IF(ISNUMBER(SEARCH("FIFO automático",I289)),"CONFORME","VERIFICAR")),"")</x:f>
      </x:c>
    </x:row>
    <x:row r="290">
      <x:c r="A290" s="52"/>
      <x:c r="G290" s="53"/>
      <x:c r="K290" s="53" t="n">
        <x:f>IF(B290="ENTRADA",G290,0)</x:f>
        <x:v>0</x:v>
      </x:c>
      <x:c r="L290" s="53" t="n">
        <x:f>IF(OR(B290="CONSUMO",B290="SAÍDA"),G290,0)</x:f>
        <x:v>0</x:v>
      </x:c>
      <x:c r="M290" s="53" t="n">
        <x:f>IF(C290="Farinheira",'Regras e Listas'!$D$4,IF(C290="Colorífico",'Regras e Listas'!$D$5,IF(C290="Farinha para o Flotamil",'Regras e Listas'!$D$6,0)))</x:f>
        <x:v>0</x:v>
      </x:c>
      <x:c r="N290" s="53" t="n">
        <x:f>K290*M290</x:f>
        <x:v>0</x:v>
      </x:c>
      <x:c r="O290" s="53" t="n">
        <x:f>L290*M290</x:f>
        <x:v>0</x:v>
      </x:c>
      <x:c r="P290" t="str">
        <x:f>IF(OR(B290="CONSUMO",B290="SAÍDA"),IF(ISNUMBER(SEARCH("não seguiu FIFO",I290)),"NÃO CONFORME",IF(ISNUMBER(SEARCH("FIFO automático",I290)),"CONFORME","VERIFICAR")),"")</x:f>
      </x:c>
    </x:row>
    <x:row r="291">
      <x:c r="A291" s="52"/>
      <x:c r="G291" s="53"/>
      <x:c r="K291" s="53" t="n">
        <x:f>IF(B291="ENTRADA",G291,0)</x:f>
        <x:v>0</x:v>
      </x:c>
      <x:c r="L291" s="53" t="n">
        <x:f>IF(OR(B291="CONSUMO",B291="SAÍDA"),G291,0)</x:f>
        <x:v>0</x:v>
      </x:c>
      <x:c r="M291" s="53" t="n">
        <x:f>IF(C291="Farinheira",'Regras e Listas'!$D$4,IF(C291="Colorífico",'Regras e Listas'!$D$5,IF(C291="Farinha para o Flotamil",'Regras e Listas'!$D$6,0)))</x:f>
        <x:v>0</x:v>
      </x:c>
      <x:c r="N291" s="53" t="n">
        <x:f>K291*M291</x:f>
        <x:v>0</x:v>
      </x:c>
      <x:c r="O291" s="53" t="n">
        <x:f>L291*M291</x:f>
        <x:v>0</x:v>
      </x:c>
      <x:c r="P291" t="str">
        <x:f>IF(OR(B291="CONSUMO",B291="SAÍDA"),IF(ISNUMBER(SEARCH("não seguiu FIFO",I291)),"NÃO CONFORME",IF(ISNUMBER(SEARCH("FIFO automático",I291)),"CONFORME","VERIFICAR")),"")</x:f>
      </x:c>
    </x:row>
    <x:row r="292">
      <x:c r="A292" s="52"/>
      <x:c r="G292" s="53"/>
      <x:c r="K292" s="53" t="n">
        <x:f>IF(B292="ENTRADA",G292,0)</x:f>
        <x:v>0</x:v>
      </x:c>
      <x:c r="L292" s="53" t="n">
        <x:f>IF(OR(B292="CONSUMO",B292="SAÍDA"),G292,0)</x:f>
        <x:v>0</x:v>
      </x:c>
      <x:c r="M292" s="53" t="n">
        <x:f>IF(C292="Farinheira",'Regras e Listas'!$D$4,IF(C292="Colorífico",'Regras e Listas'!$D$5,IF(C292="Farinha para o Flotamil",'Regras e Listas'!$D$6,0)))</x:f>
        <x:v>0</x:v>
      </x:c>
      <x:c r="N292" s="53" t="n">
        <x:f>K292*M292</x:f>
        <x:v>0</x:v>
      </x:c>
      <x:c r="O292" s="53" t="n">
        <x:f>L292*M292</x:f>
        <x:v>0</x:v>
      </x:c>
      <x:c r="P292" t="str">
        <x:f>IF(OR(B292="CONSUMO",B292="SAÍDA"),IF(ISNUMBER(SEARCH("não seguiu FIFO",I292)),"NÃO CONFORME",IF(ISNUMBER(SEARCH("FIFO automático",I292)),"CONFORME","VERIFICAR")),"")</x:f>
      </x:c>
    </x:row>
    <x:row r="293">
      <x:c r="A293" s="52"/>
      <x:c r="G293" s="53"/>
      <x:c r="K293" s="53" t="n">
        <x:f>IF(B293="ENTRADA",G293,0)</x:f>
        <x:v>0</x:v>
      </x:c>
      <x:c r="L293" s="53" t="n">
        <x:f>IF(OR(B293="CONSUMO",B293="SAÍDA"),G293,0)</x:f>
        <x:v>0</x:v>
      </x:c>
      <x:c r="M293" s="53" t="n">
        <x:f>IF(C293="Farinheira",'Regras e Listas'!$D$4,IF(C293="Colorífico",'Regras e Listas'!$D$5,IF(C293="Farinha para o Flotamil",'Regras e Listas'!$D$6,0)))</x:f>
        <x:v>0</x:v>
      </x:c>
      <x:c r="N293" s="53" t="n">
        <x:f>K293*M293</x:f>
        <x:v>0</x:v>
      </x:c>
      <x:c r="O293" s="53" t="n">
        <x:f>L293*M293</x:f>
        <x:v>0</x:v>
      </x:c>
      <x:c r="P293" t="str">
        <x:f>IF(OR(B293="CONSUMO",B293="SAÍDA"),IF(ISNUMBER(SEARCH("não seguiu FIFO",I293)),"NÃO CONFORME",IF(ISNUMBER(SEARCH("FIFO automático",I293)),"CONFORME","VERIFICAR")),"")</x:f>
      </x:c>
    </x:row>
    <x:row r="294">
      <x:c r="A294" s="52"/>
      <x:c r="G294" s="53"/>
      <x:c r="K294" s="53" t="n">
        <x:f>IF(B294="ENTRADA",G294,0)</x:f>
        <x:v>0</x:v>
      </x:c>
      <x:c r="L294" s="53" t="n">
        <x:f>IF(OR(B294="CONSUMO",B294="SAÍDA"),G294,0)</x:f>
        <x:v>0</x:v>
      </x:c>
      <x:c r="M294" s="53" t="n">
        <x:f>IF(C294="Farinheira",'Regras e Listas'!$D$4,IF(C294="Colorífico",'Regras e Listas'!$D$5,IF(C294="Farinha para o Flotamil",'Regras e Listas'!$D$6,0)))</x:f>
        <x:v>0</x:v>
      </x:c>
      <x:c r="N294" s="53" t="n">
        <x:f>K294*M294</x:f>
        <x:v>0</x:v>
      </x:c>
      <x:c r="O294" s="53" t="n">
        <x:f>L294*M294</x:f>
        <x:v>0</x:v>
      </x:c>
      <x:c r="P294" t="str">
        <x:f>IF(OR(B294="CONSUMO",B294="SAÍDA"),IF(ISNUMBER(SEARCH("não seguiu FIFO",I294)),"NÃO CONFORME",IF(ISNUMBER(SEARCH("FIFO automático",I294)),"CONFORME","VERIFICAR")),"")</x:f>
      </x:c>
    </x:row>
    <x:row r="295">
      <x:c r="A295" s="52"/>
      <x:c r="G295" s="53"/>
      <x:c r="K295" s="53" t="n">
        <x:f>IF(B295="ENTRADA",G295,0)</x:f>
        <x:v>0</x:v>
      </x:c>
      <x:c r="L295" s="53" t="n">
        <x:f>IF(OR(B295="CONSUMO",B295="SAÍDA"),G295,0)</x:f>
        <x:v>0</x:v>
      </x:c>
      <x:c r="M295" s="53" t="n">
        <x:f>IF(C295="Farinheira",'Regras e Listas'!$D$4,IF(C295="Colorífico",'Regras e Listas'!$D$5,IF(C295="Farinha para o Flotamil",'Regras e Listas'!$D$6,0)))</x:f>
        <x:v>0</x:v>
      </x:c>
      <x:c r="N295" s="53" t="n">
        <x:f>K295*M295</x:f>
        <x:v>0</x:v>
      </x:c>
      <x:c r="O295" s="53" t="n">
        <x:f>L295*M295</x:f>
        <x:v>0</x:v>
      </x:c>
      <x:c r="P295" t="str">
        <x:f>IF(OR(B295="CONSUMO",B295="SAÍDA"),IF(ISNUMBER(SEARCH("não seguiu FIFO",I295)),"NÃO CONFORME",IF(ISNUMBER(SEARCH("FIFO automático",I295)),"CONFORME","VERIFICAR")),"")</x:f>
      </x:c>
    </x:row>
    <x:row r="296">
      <x:c r="A296" s="52"/>
      <x:c r="G296" s="53"/>
      <x:c r="K296" s="53" t="n">
        <x:f>IF(B296="ENTRADA",G296,0)</x:f>
        <x:v>0</x:v>
      </x:c>
      <x:c r="L296" s="53" t="n">
        <x:f>IF(OR(B296="CONSUMO",B296="SAÍDA"),G296,0)</x:f>
        <x:v>0</x:v>
      </x:c>
      <x:c r="M296" s="53" t="n">
        <x:f>IF(C296="Farinheira",'Regras e Listas'!$D$4,IF(C296="Colorífico",'Regras e Listas'!$D$5,IF(C296="Farinha para o Flotamil",'Regras e Listas'!$D$6,0)))</x:f>
        <x:v>0</x:v>
      </x:c>
      <x:c r="N296" s="53" t="n">
        <x:f>K296*M296</x:f>
        <x:v>0</x:v>
      </x:c>
      <x:c r="O296" s="53" t="n">
        <x:f>L296*M296</x:f>
        <x:v>0</x:v>
      </x:c>
      <x:c r="P296" t="str">
        <x:f>IF(OR(B296="CONSUMO",B296="SAÍDA"),IF(ISNUMBER(SEARCH("não seguiu FIFO",I296)),"NÃO CONFORME",IF(ISNUMBER(SEARCH("FIFO automático",I296)),"CONFORME","VERIFICAR")),"")</x:f>
      </x:c>
    </x:row>
    <x:row r="297">
      <x:c r="A297" s="52"/>
      <x:c r="G297" s="53"/>
      <x:c r="K297" s="53" t="n">
        <x:f>IF(B297="ENTRADA",G297,0)</x:f>
        <x:v>0</x:v>
      </x:c>
      <x:c r="L297" s="53" t="n">
        <x:f>IF(OR(B297="CONSUMO",B297="SAÍDA"),G297,0)</x:f>
        <x:v>0</x:v>
      </x:c>
      <x:c r="M297" s="53" t="n">
        <x:f>IF(C297="Farinheira",'Regras e Listas'!$D$4,IF(C297="Colorífico",'Regras e Listas'!$D$5,IF(C297="Farinha para o Flotamil",'Regras e Listas'!$D$6,0)))</x:f>
        <x:v>0</x:v>
      </x:c>
      <x:c r="N297" s="53" t="n">
        <x:f>K297*M297</x:f>
        <x:v>0</x:v>
      </x:c>
      <x:c r="O297" s="53" t="n">
        <x:f>L297*M297</x:f>
        <x:v>0</x:v>
      </x:c>
      <x:c r="P297" t="str">
        <x:f>IF(OR(B297="CONSUMO",B297="SAÍDA"),IF(ISNUMBER(SEARCH("não seguiu FIFO",I297)),"NÃO CONFORME",IF(ISNUMBER(SEARCH("FIFO automático",I297)),"CONFORME","VERIFICAR")),"")</x:f>
      </x:c>
    </x:row>
    <x:row r="298">
      <x:c r="A298" s="52"/>
      <x:c r="G298" s="53"/>
      <x:c r="K298" s="53" t="n">
        <x:f>IF(B298="ENTRADA",G298,0)</x:f>
        <x:v>0</x:v>
      </x:c>
      <x:c r="L298" s="53" t="n">
        <x:f>IF(OR(B298="CONSUMO",B298="SAÍDA"),G298,0)</x:f>
        <x:v>0</x:v>
      </x:c>
      <x:c r="M298" s="53" t="n">
        <x:f>IF(C298="Farinheira",'Regras e Listas'!$D$4,IF(C298="Colorífico",'Regras e Listas'!$D$5,IF(C298="Farinha para o Flotamil",'Regras e Listas'!$D$6,0)))</x:f>
        <x:v>0</x:v>
      </x:c>
      <x:c r="N298" s="53" t="n">
        <x:f>K298*M298</x:f>
        <x:v>0</x:v>
      </x:c>
      <x:c r="O298" s="53" t="n">
        <x:f>L298*M298</x:f>
        <x:v>0</x:v>
      </x:c>
      <x:c r="P298" t="str">
        <x:f>IF(OR(B298="CONSUMO",B298="SAÍDA"),IF(ISNUMBER(SEARCH("não seguiu FIFO",I298)),"NÃO CONFORME",IF(ISNUMBER(SEARCH("FIFO automático",I298)),"CONFORME","VERIFICAR")),"")</x:f>
      </x:c>
    </x:row>
    <x:row r="299">
      <x:c r="A299" s="52"/>
      <x:c r="G299" s="53"/>
      <x:c r="K299" s="53" t="n">
        <x:f>IF(B299="ENTRADA",G299,0)</x:f>
        <x:v>0</x:v>
      </x:c>
      <x:c r="L299" s="53" t="n">
        <x:f>IF(OR(B299="CONSUMO",B299="SAÍDA"),G299,0)</x:f>
        <x:v>0</x:v>
      </x:c>
      <x:c r="M299" s="53" t="n">
        <x:f>IF(C299="Farinheira",'Regras e Listas'!$D$4,IF(C299="Colorífico",'Regras e Listas'!$D$5,IF(C299="Farinha para o Flotamil",'Regras e Listas'!$D$6,0)))</x:f>
        <x:v>0</x:v>
      </x:c>
      <x:c r="N299" s="53" t="n">
        <x:f>K299*M299</x:f>
        <x:v>0</x:v>
      </x:c>
      <x:c r="O299" s="53" t="n">
        <x:f>L299*M299</x:f>
        <x:v>0</x:v>
      </x:c>
      <x:c r="P299" t="str">
        <x:f>IF(OR(B299="CONSUMO",B299="SAÍDA"),IF(ISNUMBER(SEARCH("não seguiu FIFO",I299)),"NÃO CONFORME",IF(ISNUMBER(SEARCH("FIFO automático",I299)),"CONFORME","VERIFICAR")),"")</x:f>
      </x:c>
    </x:row>
    <x:row r="300">
      <x:c r="A300" s="52"/>
      <x:c r="G300" s="53"/>
      <x:c r="K300" s="53" t="n">
        <x:f>IF(B300="ENTRADA",G300,0)</x:f>
        <x:v>0</x:v>
      </x:c>
      <x:c r="L300" s="53" t="n">
        <x:f>IF(OR(B300="CONSUMO",B300="SAÍDA"),G300,0)</x:f>
        <x:v>0</x:v>
      </x:c>
      <x:c r="M300" s="53" t="n">
        <x:f>IF(C300="Farinheira",'Regras e Listas'!$D$4,IF(C300="Colorífico",'Regras e Listas'!$D$5,IF(C300="Farinha para o Flotamil",'Regras e Listas'!$D$6,0)))</x:f>
        <x:v>0</x:v>
      </x:c>
      <x:c r="N300" s="53" t="n">
        <x:f>K300*M300</x:f>
        <x:v>0</x:v>
      </x:c>
      <x:c r="O300" s="53" t="n">
        <x:f>L300*M300</x:f>
        <x:v>0</x:v>
      </x:c>
      <x:c r="P300" t="str">
        <x:f>IF(OR(B300="CONSUMO",B300="SAÍDA"),IF(ISNUMBER(SEARCH("não seguiu FIFO",I300)),"NÃO CONFORME",IF(ISNUMBER(SEARCH("FIFO automático",I300)),"CONFORME","VERIFICAR")),"")</x:f>
      </x:c>
    </x:row>
    <x:row r="301">
      <x:c r="A301" s="52"/>
      <x:c r="G301" s="53"/>
      <x:c r="K301" s="53" t="n">
        <x:f>IF(B301="ENTRADA",G301,0)</x:f>
        <x:v>0</x:v>
      </x:c>
      <x:c r="L301" s="53" t="n">
        <x:f>IF(OR(B301="CONSUMO",B301="SAÍDA"),G301,0)</x:f>
        <x:v>0</x:v>
      </x:c>
      <x:c r="M301" s="53" t="n">
        <x:f>IF(C301="Farinheira",'Regras e Listas'!$D$4,IF(C301="Colorífico",'Regras e Listas'!$D$5,IF(C301="Farinha para o Flotamil",'Regras e Listas'!$D$6,0)))</x:f>
        <x:v>0</x:v>
      </x:c>
      <x:c r="N301" s="53" t="n">
        <x:f>K301*M301</x:f>
        <x:v>0</x:v>
      </x:c>
      <x:c r="O301" s="53" t="n">
        <x:f>L301*M301</x:f>
        <x:v>0</x:v>
      </x:c>
      <x:c r="P301" t="str">
        <x:f>IF(OR(B301="CONSUMO",B301="SAÍDA"),IF(ISNUMBER(SEARCH("não seguiu FIFO",I301)),"NÃO CONFORME",IF(ISNUMBER(SEARCH("FIFO automático",I301)),"CONFORME","VERIFICAR")),"")</x:f>
      </x:c>
    </x:row>
    <x:row r="302">
      <x:c r="A302" s="52"/>
      <x:c r="G302" s="53"/>
      <x:c r="K302" s="53" t="n">
        <x:f>IF(B302="ENTRADA",G302,0)</x:f>
        <x:v>0</x:v>
      </x:c>
      <x:c r="L302" s="53" t="n">
        <x:f>IF(OR(B302="CONSUMO",B302="SAÍDA"),G302,0)</x:f>
        <x:v>0</x:v>
      </x:c>
      <x:c r="M302" s="53" t="n">
        <x:f>IF(C302="Farinheira",'Regras e Listas'!$D$4,IF(C302="Colorífico",'Regras e Listas'!$D$5,IF(C302="Farinha para o Flotamil",'Regras e Listas'!$D$6,0)))</x:f>
        <x:v>0</x:v>
      </x:c>
      <x:c r="N302" s="53" t="n">
        <x:f>K302*M302</x:f>
        <x:v>0</x:v>
      </x:c>
      <x:c r="O302" s="53" t="n">
        <x:f>L302*M302</x:f>
        <x:v>0</x:v>
      </x:c>
      <x:c r="P302" t="str">
        <x:f>IF(OR(B302="CONSUMO",B302="SAÍDA"),IF(ISNUMBER(SEARCH("não seguiu FIFO",I302)),"NÃO CONFORME",IF(ISNUMBER(SEARCH("FIFO automático",I302)),"CONFORME","VERIFICAR")),"")</x:f>
      </x:c>
    </x:row>
    <x:row r="303">
      <x:c r="A303" s="52"/>
      <x:c r="G303" s="53"/>
      <x:c r="K303" s="53" t="n">
        <x:f>IF(B303="ENTRADA",G303,0)</x:f>
        <x:v>0</x:v>
      </x:c>
      <x:c r="L303" s="53" t="n">
        <x:f>IF(OR(B303="CONSUMO",B303="SAÍDA"),G303,0)</x:f>
        <x:v>0</x:v>
      </x:c>
      <x:c r="M303" s="53" t="n">
        <x:f>IF(C303="Farinheira",'Regras e Listas'!$D$4,IF(C303="Colorífico",'Regras e Listas'!$D$5,IF(C303="Farinha para o Flotamil",'Regras e Listas'!$D$6,0)))</x:f>
        <x:v>0</x:v>
      </x:c>
      <x:c r="N303" s="53" t="n">
        <x:f>K303*M303</x:f>
        <x:v>0</x:v>
      </x:c>
      <x:c r="O303" s="53" t="n">
        <x:f>L303*M303</x:f>
        <x:v>0</x:v>
      </x:c>
      <x:c r="P303" t="str">
        <x:f>IF(OR(B303="CONSUMO",B303="SAÍDA"),IF(ISNUMBER(SEARCH("não seguiu FIFO",I303)),"NÃO CONFORME",IF(ISNUMBER(SEARCH("FIFO automático",I303)),"CONFORME","VERIFICAR")),"")</x:f>
      </x:c>
    </x:row>
    <x:row r="304">
      <x:c r="A304" s="52"/>
      <x:c r="G304" s="53"/>
      <x:c r="K304" s="53" t="n">
        <x:f>IF(B304="ENTRADA",G304,0)</x:f>
        <x:v>0</x:v>
      </x:c>
      <x:c r="L304" s="53" t="n">
        <x:f>IF(OR(B304="CONSUMO",B304="SAÍDA"),G304,0)</x:f>
        <x:v>0</x:v>
      </x:c>
      <x:c r="M304" s="53" t="n">
        <x:f>IF(C304="Farinheira",'Regras e Listas'!$D$4,IF(C304="Colorífico",'Regras e Listas'!$D$5,IF(C304="Farinha para o Flotamil",'Regras e Listas'!$D$6,0)))</x:f>
        <x:v>0</x:v>
      </x:c>
      <x:c r="N304" s="53" t="n">
        <x:f>K304*M304</x:f>
        <x:v>0</x:v>
      </x:c>
      <x:c r="O304" s="53" t="n">
        <x:f>L304*M304</x:f>
        <x:v>0</x:v>
      </x:c>
      <x:c r="P304" t="str">
        <x:f>IF(OR(B304="CONSUMO",B304="SAÍDA"),IF(ISNUMBER(SEARCH("não seguiu FIFO",I304)),"NÃO CONFORME",IF(ISNUMBER(SEARCH("FIFO automático",I304)),"CONFORME","VERIFICAR")),"")</x:f>
      </x:c>
    </x:row>
    <x:row r="305">
      <x:c r="A305" s="52"/>
      <x:c r="G305" s="53"/>
      <x:c r="K305" s="53" t="n">
        <x:f>IF(B305="ENTRADA",G305,0)</x:f>
        <x:v>0</x:v>
      </x:c>
      <x:c r="L305" s="53" t="n">
        <x:f>IF(OR(B305="CONSUMO",B305="SAÍDA"),G305,0)</x:f>
        <x:v>0</x:v>
      </x:c>
      <x:c r="M305" s="53" t="n">
        <x:f>IF(C305="Farinheira",'Regras e Listas'!$D$4,IF(C305="Colorífico",'Regras e Listas'!$D$5,IF(C305="Farinha para o Flotamil",'Regras e Listas'!$D$6,0)))</x:f>
        <x:v>0</x:v>
      </x:c>
      <x:c r="N305" s="53" t="n">
        <x:f>K305*M305</x:f>
        <x:v>0</x:v>
      </x:c>
      <x:c r="O305" s="53" t="n">
        <x:f>L305*M305</x:f>
        <x:v>0</x:v>
      </x:c>
      <x:c r="P305" t="str">
        <x:f>IF(OR(B305="CONSUMO",B305="SAÍDA"),IF(ISNUMBER(SEARCH("não seguiu FIFO",I305)),"NÃO CONFORME",IF(ISNUMBER(SEARCH("FIFO automático",I305)),"CONFORME","VERIFICAR")),"")</x:f>
      </x:c>
    </x:row>
    <x:row r="306">
      <x:c r="A306" s="52"/>
      <x:c r="G306" s="53"/>
      <x:c r="K306" s="53" t="n">
        <x:f>IF(B306="ENTRADA",G306,0)</x:f>
        <x:v>0</x:v>
      </x:c>
      <x:c r="L306" s="53" t="n">
        <x:f>IF(OR(B306="CONSUMO",B306="SAÍDA"),G306,0)</x:f>
        <x:v>0</x:v>
      </x:c>
      <x:c r="M306" s="53" t="n">
        <x:f>IF(C306="Farinheira",'Regras e Listas'!$D$4,IF(C306="Colorífico",'Regras e Listas'!$D$5,IF(C306="Farinha para o Flotamil",'Regras e Listas'!$D$6,0)))</x:f>
        <x:v>0</x:v>
      </x:c>
      <x:c r="N306" s="53" t="n">
        <x:f>K306*M306</x:f>
        <x:v>0</x:v>
      </x:c>
      <x:c r="O306" s="53" t="n">
        <x:f>L306*M306</x:f>
        <x:v>0</x:v>
      </x:c>
      <x:c r="P306" t="str">
        <x:f>IF(OR(B306="CONSUMO",B306="SAÍDA"),IF(ISNUMBER(SEARCH("não seguiu FIFO",I306)),"NÃO CONFORME",IF(ISNUMBER(SEARCH("FIFO automático",I306)),"CONFORME","VERIFICAR")),"")</x:f>
      </x:c>
    </x:row>
    <x:row r="307">
      <x:c r="A307" s="52"/>
      <x:c r="G307" s="53"/>
      <x:c r="K307" s="53" t="n">
        <x:f>IF(B307="ENTRADA",G307,0)</x:f>
        <x:v>0</x:v>
      </x:c>
      <x:c r="L307" s="53" t="n">
        <x:f>IF(OR(B307="CONSUMO",B307="SAÍDA"),G307,0)</x:f>
        <x:v>0</x:v>
      </x:c>
      <x:c r="M307" s="53" t="n">
        <x:f>IF(C307="Farinheira",'Regras e Listas'!$D$4,IF(C307="Colorífico",'Regras e Listas'!$D$5,IF(C307="Farinha para o Flotamil",'Regras e Listas'!$D$6,0)))</x:f>
        <x:v>0</x:v>
      </x:c>
      <x:c r="N307" s="53" t="n">
        <x:f>K307*M307</x:f>
        <x:v>0</x:v>
      </x:c>
      <x:c r="O307" s="53" t="n">
        <x:f>L307*M307</x:f>
        <x:v>0</x:v>
      </x:c>
      <x:c r="P307" t="str">
        <x:f>IF(OR(B307="CONSUMO",B307="SAÍDA"),IF(ISNUMBER(SEARCH("não seguiu FIFO",I307)),"NÃO CONFORME",IF(ISNUMBER(SEARCH("FIFO automático",I307)),"CONFORME","VERIFICAR")),"")</x:f>
      </x:c>
    </x:row>
    <x:row r="308">
      <x:c r="A308" s="52"/>
      <x:c r="G308" s="53"/>
      <x:c r="K308" s="53" t="n">
        <x:f>IF(B308="ENTRADA",G308,0)</x:f>
        <x:v>0</x:v>
      </x:c>
      <x:c r="L308" s="53" t="n">
        <x:f>IF(OR(B308="CONSUMO",B308="SAÍDA"),G308,0)</x:f>
        <x:v>0</x:v>
      </x:c>
      <x:c r="M308" s="53" t="n">
        <x:f>IF(C308="Farinheira",'Regras e Listas'!$D$4,IF(C308="Colorífico",'Regras e Listas'!$D$5,IF(C308="Farinha para o Flotamil",'Regras e Listas'!$D$6,0)))</x:f>
        <x:v>0</x:v>
      </x:c>
      <x:c r="N308" s="53" t="n">
        <x:f>K308*M308</x:f>
        <x:v>0</x:v>
      </x:c>
      <x:c r="O308" s="53" t="n">
        <x:f>L308*M308</x:f>
        <x:v>0</x:v>
      </x:c>
      <x:c r="P308" t="str">
        <x:f>IF(OR(B308="CONSUMO",B308="SAÍDA"),IF(ISNUMBER(SEARCH("não seguiu FIFO",I308)),"NÃO CONFORME",IF(ISNUMBER(SEARCH("FIFO automático",I308)),"CONFORME","VERIFICAR")),"")</x:f>
      </x:c>
    </x:row>
    <x:row r="309">
      <x:c r="A309" s="52"/>
      <x:c r="G309" s="53"/>
      <x:c r="K309" s="53" t="n">
        <x:f>IF(B309="ENTRADA",G309,0)</x:f>
        <x:v>0</x:v>
      </x:c>
      <x:c r="L309" s="53" t="n">
        <x:f>IF(OR(B309="CONSUMO",B309="SAÍDA"),G309,0)</x:f>
        <x:v>0</x:v>
      </x:c>
      <x:c r="M309" s="53" t="n">
        <x:f>IF(C309="Farinheira",'Regras e Listas'!$D$4,IF(C309="Colorífico",'Regras e Listas'!$D$5,IF(C309="Farinha para o Flotamil",'Regras e Listas'!$D$6,0)))</x:f>
        <x:v>0</x:v>
      </x:c>
      <x:c r="N309" s="53" t="n">
        <x:f>K309*M309</x:f>
        <x:v>0</x:v>
      </x:c>
      <x:c r="O309" s="53" t="n">
        <x:f>L309*M309</x:f>
        <x:v>0</x:v>
      </x:c>
      <x:c r="P309" t="str">
        <x:f>IF(OR(B309="CONSUMO",B309="SAÍDA"),IF(ISNUMBER(SEARCH("não seguiu FIFO",I309)),"NÃO CONFORME",IF(ISNUMBER(SEARCH("FIFO automático",I309)),"CONFORME","VERIFICAR")),"")</x:f>
      </x:c>
    </x:row>
    <x:row r="310">
      <x:c r="A310" s="52"/>
      <x:c r="G310" s="53"/>
      <x:c r="K310" s="53" t="n">
        <x:f>IF(B310="ENTRADA",G310,0)</x:f>
        <x:v>0</x:v>
      </x:c>
      <x:c r="L310" s="53" t="n">
        <x:f>IF(OR(B310="CONSUMO",B310="SAÍDA"),G310,0)</x:f>
        <x:v>0</x:v>
      </x:c>
      <x:c r="M310" s="53" t="n">
        <x:f>IF(C310="Farinheira",'Regras e Listas'!$D$4,IF(C310="Colorífico",'Regras e Listas'!$D$5,IF(C310="Farinha para o Flotamil",'Regras e Listas'!$D$6,0)))</x:f>
        <x:v>0</x:v>
      </x:c>
      <x:c r="N310" s="53" t="n">
        <x:f>K310*M310</x:f>
        <x:v>0</x:v>
      </x:c>
      <x:c r="O310" s="53" t="n">
        <x:f>L310*M310</x:f>
        <x:v>0</x:v>
      </x:c>
      <x:c r="P310" t="str">
        <x:f>IF(OR(B310="CONSUMO",B310="SAÍDA"),IF(ISNUMBER(SEARCH("não seguiu FIFO",I310)),"NÃO CONFORME",IF(ISNUMBER(SEARCH("FIFO automático",I310)),"CONFORME","VERIFICAR")),"")</x:f>
      </x:c>
    </x:row>
    <x:row r="311">
      <x:c r="A311" s="52"/>
      <x:c r="G311" s="53"/>
      <x:c r="K311" s="53" t="n">
        <x:f>IF(B311="ENTRADA",G311,0)</x:f>
        <x:v>0</x:v>
      </x:c>
      <x:c r="L311" s="53" t="n">
        <x:f>IF(OR(B311="CONSUMO",B311="SAÍDA"),G311,0)</x:f>
        <x:v>0</x:v>
      </x:c>
      <x:c r="M311" s="53" t="n">
        <x:f>IF(C311="Farinheira",'Regras e Listas'!$D$4,IF(C311="Colorífico",'Regras e Listas'!$D$5,IF(C311="Farinha para o Flotamil",'Regras e Listas'!$D$6,0)))</x:f>
        <x:v>0</x:v>
      </x:c>
      <x:c r="N311" s="53" t="n">
        <x:f>K311*M311</x:f>
        <x:v>0</x:v>
      </x:c>
      <x:c r="O311" s="53" t="n">
        <x:f>L311*M311</x:f>
        <x:v>0</x:v>
      </x:c>
      <x:c r="P311" t="str">
        <x:f>IF(OR(B311="CONSUMO",B311="SAÍDA"),IF(ISNUMBER(SEARCH("não seguiu FIFO",I311)),"NÃO CONFORME",IF(ISNUMBER(SEARCH("FIFO automático",I311)),"CONFORME","VERIFICAR")),"")</x:f>
      </x:c>
    </x:row>
    <x:row r="312">
      <x:c r="A312" s="52"/>
      <x:c r="G312" s="53"/>
      <x:c r="K312" s="53" t="n">
        <x:f>IF(B312="ENTRADA",G312,0)</x:f>
        <x:v>0</x:v>
      </x:c>
      <x:c r="L312" s="53" t="n">
        <x:f>IF(OR(B312="CONSUMO",B312="SAÍDA"),G312,0)</x:f>
        <x:v>0</x:v>
      </x:c>
      <x:c r="M312" s="53" t="n">
        <x:f>IF(C312="Farinheira",'Regras e Listas'!$D$4,IF(C312="Colorífico",'Regras e Listas'!$D$5,IF(C312="Farinha para o Flotamil",'Regras e Listas'!$D$6,0)))</x:f>
        <x:v>0</x:v>
      </x:c>
      <x:c r="N312" s="53" t="n">
        <x:f>K312*M312</x:f>
        <x:v>0</x:v>
      </x:c>
      <x:c r="O312" s="53" t="n">
        <x:f>L312*M312</x:f>
        <x:v>0</x:v>
      </x:c>
      <x:c r="P312" t="str">
        <x:f>IF(OR(B312="CONSUMO",B312="SAÍDA"),IF(ISNUMBER(SEARCH("não seguiu FIFO",I312)),"NÃO CONFORME",IF(ISNUMBER(SEARCH("FIFO automático",I312)),"CONFORME","VERIFICAR")),"")</x:f>
      </x:c>
    </x:row>
    <x:row r="313">
      <x:c r="A313" s="52"/>
      <x:c r="G313" s="53"/>
      <x:c r="K313" s="53" t="n">
        <x:f>IF(B313="ENTRADA",G313,0)</x:f>
        <x:v>0</x:v>
      </x:c>
      <x:c r="L313" s="53" t="n">
        <x:f>IF(OR(B313="CONSUMO",B313="SAÍDA"),G313,0)</x:f>
        <x:v>0</x:v>
      </x:c>
      <x:c r="M313" s="53" t="n">
        <x:f>IF(C313="Farinheira",'Regras e Listas'!$D$4,IF(C313="Colorífico",'Regras e Listas'!$D$5,IF(C313="Farinha para o Flotamil",'Regras e Listas'!$D$6,0)))</x:f>
        <x:v>0</x:v>
      </x:c>
      <x:c r="N313" s="53" t="n">
        <x:f>K313*M313</x:f>
        <x:v>0</x:v>
      </x:c>
      <x:c r="O313" s="53" t="n">
        <x:f>L313*M313</x:f>
        <x:v>0</x:v>
      </x:c>
      <x:c r="P313" t="str">
        <x:f>IF(OR(B313="CONSUMO",B313="SAÍDA"),IF(ISNUMBER(SEARCH("não seguiu FIFO",I313)),"NÃO CONFORME",IF(ISNUMBER(SEARCH("FIFO automático",I313)),"CONFORME","VERIFICAR")),"")</x:f>
      </x:c>
    </x:row>
    <x:row r="314">
      <x:c r="A314" s="52"/>
      <x:c r="G314" s="53"/>
      <x:c r="K314" s="53" t="n">
        <x:f>IF(B314="ENTRADA",G314,0)</x:f>
        <x:v>0</x:v>
      </x:c>
      <x:c r="L314" s="53" t="n">
        <x:f>IF(OR(B314="CONSUMO",B314="SAÍDA"),G314,0)</x:f>
        <x:v>0</x:v>
      </x:c>
      <x:c r="M314" s="53" t="n">
        <x:f>IF(C314="Farinheira",'Regras e Listas'!$D$4,IF(C314="Colorífico",'Regras e Listas'!$D$5,IF(C314="Farinha para o Flotamil",'Regras e Listas'!$D$6,0)))</x:f>
        <x:v>0</x:v>
      </x:c>
      <x:c r="N314" s="53" t="n">
        <x:f>K314*M314</x:f>
        <x:v>0</x:v>
      </x:c>
      <x:c r="O314" s="53" t="n">
        <x:f>L314*M314</x:f>
        <x:v>0</x:v>
      </x:c>
      <x:c r="P314" t="str">
        <x:f>IF(OR(B314="CONSUMO",B314="SAÍDA"),IF(ISNUMBER(SEARCH("não seguiu FIFO",I314)),"NÃO CONFORME",IF(ISNUMBER(SEARCH("FIFO automático",I314)),"CONFORME","VERIFICAR")),"")</x:f>
      </x:c>
    </x:row>
    <x:row r="315">
      <x:c r="A315" s="52"/>
      <x:c r="G315" s="53"/>
      <x:c r="K315" s="53" t="n">
        <x:f>IF(B315="ENTRADA",G315,0)</x:f>
        <x:v>0</x:v>
      </x:c>
      <x:c r="L315" s="53" t="n">
        <x:f>IF(OR(B315="CONSUMO",B315="SAÍDA"),G315,0)</x:f>
        <x:v>0</x:v>
      </x:c>
      <x:c r="M315" s="53" t="n">
        <x:f>IF(C315="Farinheira",'Regras e Listas'!$D$4,IF(C315="Colorífico",'Regras e Listas'!$D$5,IF(C315="Farinha para o Flotamil",'Regras e Listas'!$D$6,0)))</x:f>
        <x:v>0</x:v>
      </x:c>
      <x:c r="N315" s="53" t="n">
        <x:f>K315*M315</x:f>
        <x:v>0</x:v>
      </x:c>
      <x:c r="O315" s="53" t="n">
        <x:f>L315*M315</x:f>
        <x:v>0</x:v>
      </x:c>
      <x:c r="P315" t="str">
        <x:f>IF(OR(B315="CONSUMO",B315="SAÍDA"),IF(ISNUMBER(SEARCH("não seguiu FIFO",I315)),"NÃO CONFORME",IF(ISNUMBER(SEARCH("FIFO automático",I315)),"CONFORME","VERIFICAR")),"")</x:f>
      </x:c>
    </x:row>
    <x:row r="316">
      <x:c r="A316" s="52"/>
      <x:c r="G316" s="53"/>
      <x:c r="K316" s="53" t="n">
        <x:f>IF(B316="ENTRADA",G316,0)</x:f>
        <x:v>0</x:v>
      </x:c>
      <x:c r="L316" s="53" t="n">
        <x:f>IF(OR(B316="CONSUMO",B316="SAÍDA"),G316,0)</x:f>
        <x:v>0</x:v>
      </x:c>
      <x:c r="M316" s="53" t="n">
        <x:f>IF(C316="Farinheira",'Regras e Listas'!$D$4,IF(C316="Colorífico",'Regras e Listas'!$D$5,IF(C316="Farinha para o Flotamil",'Regras e Listas'!$D$6,0)))</x:f>
        <x:v>0</x:v>
      </x:c>
      <x:c r="N316" s="53" t="n">
        <x:f>K316*M316</x:f>
        <x:v>0</x:v>
      </x:c>
      <x:c r="O316" s="53" t="n">
        <x:f>L316*M316</x:f>
        <x:v>0</x:v>
      </x:c>
      <x:c r="P316" t="str">
        <x:f>IF(OR(B316="CONSUMO",B316="SAÍDA"),IF(ISNUMBER(SEARCH("não seguiu FIFO",I316)),"NÃO CONFORME",IF(ISNUMBER(SEARCH("FIFO automático",I316)),"CONFORME","VERIFICAR")),"")</x:f>
      </x:c>
    </x:row>
    <x:row r="317">
      <x:c r="A317" s="52"/>
      <x:c r="G317" s="53"/>
      <x:c r="K317" s="53" t="n">
        <x:f>IF(B317="ENTRADA",G317,0)</x:f>
        <x:v>0</x:v>
      </x:c>
      <x:c r="L317" s="53" t="n">
        <x:f>IF(OR(B317="CONSUMO",B317="SAÍDA"),G317,0)</x:f>
        <x:v>0</x:v>
      </x:c>
      <x:c r="M317" s="53" t="n">
        <x:f>IF(C317="Farinheira",'Regras e Listas'!$D$4,IF(C317="Colorífico",'Regras e Listas'!$D$5,IF(C317="Farinha para o Flotamil",'Regras e Listas'!$D$6,0)))</x:f>
        <x:v>0</x:v>
      </x:c>
      <x:c r="N317" s="53" t="n">
        <x:f>K317*M317</x:f>
        <x:v>0</x:v>
      </x:c>
      <x:c r="O317" s="53" t="n">
        <x:f>L317*M317</x:f>
        <x:v>0</x:v>
      </x:c>
      <x:c r="P317" t="str">
        <x:f>IF(OR(B317="CONSUMO",B317="SAÍDA"),IF(ISNUMBER(SEARCH("não seguiu FIFO",I317)),"NÃO CONFORME",IF(ISNUMBER(SEARCH("FIFO automático",I317)),"CONFORME","VERIFICAR")),"")</x:f>
      </x:c>
    </x:row>
    <x:row r="318">
      <x:c r="A318" s="52"/>
      <x:c r="G318" s="53"/>
      <x:c r="K318" s="53" t="n">
        <x:f>IF(B318="ENTRADA",G318,0)</x:f>
        <x:v>0</x:v>
      </x:c>
      <x:c r="L318" s="53" t="n">
        <x:f>IF(OR(B318="CONSUMO",B318="SAÍDA"),G318,0)</x:f>
        <x:v>0</x:v>
      </x:c>
      <x:c r="M318" s="53" t="n">
        <x:f>IF(C318="Farinheira",'Regras e Listas'!$D$4,IF(C318="Colorífico",'Regras e Listas'!$D$5,IF(C318="Farinha para o Flotamil",'Regras e Listas'!$D$6,0)))</x:f>
        <x:v>0</x:v>
      </x:c>
      <x:c r="N318" s="53" t="n">
        <x:f>K318*M318</x:f>
        <x:v>0</x:v>
      </x:c>
      <x:c r="O318" s="53" t="n">
        <x:f>L318*M318</x:f>
        <x:v>0</x:v>
      </x:c>
      <x:c r="P318" t="str">
        <x:f>IF(OR(B318="CONSUMO",B318="SAÍDA"),IF(ISNUMBER(SEARCH("não seguiu FIFO",I318)),"NÃO CONFORME",IF(ISNUMBER(SEARCH("FIFO automático",I318)),"CONFORME","VERIFICAR")),"")</x:f>
      </x:c>
    </x:row>
    <x:row r="319">
      <x:c r="A319" s="52"/>
      <x:c r="G319" s="53"/>
      <x:c r="K319" s="53" t="n">
        <x:f>IF(B319="ENTRADA",G319,0)</x:f>
        <x:v>0</x:v>
      </x:c>
      <x:c r="L319" s="53" t="n">
        <x:f>IF(OR(B319="CONSUMO",B319="SAÍDA"),G319,0)</x:f>
        <x:v>0</x:v>
      </x:c>
      <x:c r="M319" s="53" t="n">
        <x:f>IF(C319="Farinheira",'Regras e Listas'!$D$4,IF(C319="Colorífico",'Regras e Listas'!$D$5,IF(C319="Farinha para o Flotamil",'Regras e Listas'!$D$6,0)))</x:f>
        <x:v>0</x:v>
      </x:c>
      <x:c r="N319" s="53" t="n">
        <x:f>K319*M319</x:f>
        <x:v>0</x:v>
      </x:c>
      <x:c r="O319" s="53" t="n">
        <x:f>L319*M319</x:f>
        <x:v>0</x:v>
      </x:c>
      <x:c r="P319" t="str">
        <x:f>IF(OR(B319="CONSUMO",B319="SAÍDA"),IF(ISNUMBER(SEARCH("não seguiu FIFO",I319)),"NÃO CONFORME",IF(ISNUMBER(SEARCH("FIFO automático",I319)),"CONFORME","VERIFICAR")),"")</x:f>
      </x:c>
    </x:row>
    <x:row r="320">
      <x:c r="A320" s="52"/>
      <x:c r="G320" s="53"/>
      <x:c r="K320" s="53" t="n">
        <x:f>IF(B320="ENTRADA",G320,0)</x:f>
        <x:v>0</x:v>
      </x:c>
      <x:c r="L320" s="53" t="n">
        <x:f>IF(OR(B320="CONSUMO",B320="SAÍDA"),G320,0)</x:f>
        <x:v>0</x:v>
      </x:c>
      <x:c r="M320" s="53" t="n">
        <x:f>IF(C320="Farinheira",'Regras e Listas'!$D$4,IF(C320="Colorífico",'Regras e Listas'!$D$5,IF(C320="Farinha para o Flotamil",'Regras e Listas'!$D$6,0)))</x:f>
        <x:v>0</x:v>
      </x:c>
      <x:c r="N320" s="53" t="n">
        <x:f>K320*M320</x:f>
        <x:v>0</x:v>
      </x:c>
      <x:c r="O320" s="53" t="n">
        <x:f>L320*M320</x:f>
        <x:v>0</x:v>
      </x:c>
      <x:c r="P320" t="str">
        <x:f>IF(OR(B320="CONSUMO",B320="SAÍDA"),IF(ISNUMBER(SEARCH("não seguiu FIFO",I320)),"NÃO CONFORME",IF(ISNUMBER(SEARCH("FIFO automático",I320)),"CONFORME","VERIFICAR")),"")</x:f>
      </x:c>
    </x:row>
    <x:row r="321">
      <x:c r="A321" s="52"/>
      <x:c r="G321" s="53"/>
      <x:c r="K321" s="53" t="n">
        <x:f>IF(B321="ENTRADA",G321,0)</x:f>
        <x:v>0</x:v>
      </x:c>
      <x:c r="L321" s="53" t="n">
        <x:f>IF(OR(B321="CONSUMO",B321="SAÍDA"),G321,0)</x:f>
        <x:v>0</x:v>
      </x:c>
      <x:c r="M321" s="53" t="n">
        <x:f>IF(C321="Farinheira",'Regras e Listas'!$D$4,IF(C321="Colorífico",'Regras e Listas'!$D$5,IF(C321="Farinha para o Flotamil",'Regras e Listas'!$D$6,0)))</x:f>
        <x:v>0</x:v>
      </x:c>
      <x:c r="N321" s="53" t="n">
        <x:f>K321*M321</x:f>
        <x:v>0</x:v>
      </x:c>
      <x:c r="O321" s="53" t="n">
        <x:f>L321*M321</x:f>
        <x:v>0</x:v>
      </x:c>
      <x:c r="P321" t="str">
        <x:f>IF(OR(B321="CONSUMO",B321="SAÍDA"),IF(ISNUMBER(SEARCH("não seguiu FIFO",I321)),"NÃO CONFORME",IF(ISNUMBER(SEARCH("FIFO automático",I321)),"CONFORME","VERIFICAR")),"")</x:f>
      </x:c>
    </x:row>
    <x:row r="322">
      <x:c r="A322" s="52"/>
      <x:c r="G322" s="53"/>
      <x:c r="K322" s="53" t="n">
        <x:f>IF(B322="ENTRADA",G322,0)</x:f>
        <x:v>0</x:v>
      </x:c>
      <x:c r="L322" s="53" t="n">
        <x:f>IF(OR(B322="CONSUMO",B322="SAÍDA"),G322,0)</x:f>
        <x:v>0</x:v>
      </x:c>
      <x:c r="M322" s="53" t="n">
        <x:f>IF(C322="Farinheira",'Regras e Listas'!$D$4,IF(C322="Colorífico",'Regras e Listas'!$D$5,IF(C322="Farinha para o Flotamil",'Regras e Listas'!$D$6,0)))</x:f>
        <x:v>0</x:v>
      </x:c>
      <x:c r="N322" s="53" t="n">
        <x:f>K322*M322</x:f>
        <x:v>0</x:v>
      </x:c>
      <x:c r="O322" s="53" t="n">
        <x:f>L322*M322</x:f>
        <x:v>0</x:v>
      </x:c>
      <x:c r="P322" t="str">
        <x:f>IF(OR(B322="CONSUMO",B322="SAÍDA"),IF(ISNUMBER(SEARCH("não seguiu FIFO",I322)),"NÃO CONFORME",IF(ISNUMBER(SEARCH("FIFO automático",I322)),"CONFORME","VERIFICAR")),"")</x:f>
      </x:c>
    </x:row>
    <x:row r="323">
      <x:c r="A323" s="52"/>
      <x:c r="G323" s="53"/>
      <x:c r="K323" s="53" t="n">
        <x:f>IF(B323="ENTRADA",G323,0)</x:f>
        <x:v>0</x:v>
      </x:c>
      <x:c r="L323" s="53" t="n">
        <x:f>IF(OR(B323="CONSUMO",B323="SAÍDA"),G323,0)</x:f>
        <x:v>0</x:v>
      </x:c>
      <x:c r="M323" s="53" t="n">
        <x:f>IF(C323="Farinheira",'Regras e Listas'!$D$4,IF(C323="Colorífico",'Regras e Listas'!$D$5,IF(C323="Farinha para o Flotamil",'Regras e Listas'!$D$6,0)))</x:f>
        <x:v>0</x:v>
      </x:c>
      <x:c r="N323" s="53" t="n">
        <x:f>K323*M323</x:f>
        <x:v>0</x:v>
      </x:c>
      <x:c r="O323" s="53" t="n">
        <x:f>L323*M323</x:f>
        <x:v>0</x:v>
      </x:c>
      <x:c r="P323" t="str">
        <x:f>IF(OR(B323="CONSUMO",B323="SAÍDA"),IF(ISNUMBER(SEARCH("não seguiu FIFO",I323)),"NÃO CONFORME",IF(ISNUMBER(SEARCH("FIFO automático",I323)),"CONFORME","VERIFICAR")),"")</x:f>
      </x:c>
    </x:row>
    <x:row r="324">
      <x:c r="A324" s="52"/>
      <x:c r="G324" s="53"/>
      <x:c r="K324" s="53" t="n">
        <x:f>IF(B324="ENTRADA",G324,0)</x:f>
        <x:v>0</x:v>
      </x:c>
      <x:c r="L324" s="53" t="n">
        <x:f>IF(OR(B324="CONSUMO",B324="SAÍDA"),G324,0)</x:f>
        <x:v>0</x:v>
      </x:c>
      <x:c r="M324" s="53" t="n">
        <x:f>IF(C324="Farinheira",'Regras e Listas'!$D$4,IF(C324="Colorífico",'Regras e Listas'!$D$5,IF(C324="Farinha para o Flotamil",'Regras e Listas'!$D$6,0)))</x:f>
        <x:v>0</x:v>
      </x:c>
      <x:c r="N324" s="53" t="n">
        <x:f>K324*M324</x:f>
        <x:v>0</x:v>
      </x:c>
      <x:c r="O324" s="53" t="n">
        <x:f>L324*M324</x:f>
        <x:v>0</x:v>
      </x:c>
      <x:c r="P324" t="str">
        <x:f>IF(OR(B324="CONSUMO",B324="SAÍDA"),IF(ISNUMBER(SEARCH("não seguiu FIFO",I324)),"NÃO CONFORME",IF(ISNUMBER(SEARCH("FIFO automático",I324)),"CONFORME","VERIFICAR")),"")</x:f>
      </x:c>
    </x:row>
    <x:row r="325">
      <x:c r="A325" s="52"/>
      <x:c r="G325" s="53"/>
      <x:c r="K325" s="53" t="n">
        <x:f>IF(B325="ENTRADA",G325,0)</x:f>
        <x:v>0</x:v>
      </x:c>
      <x:c r="L325" s="53" t="n">
        <x:f>IF(OR(B325="CONSUMO",B325="SAÍDA"),G325,0)</x:f>
        <x:v>0</x:v>
      </x:c>
      <x:c r="M325" s="53" t="n">
        <x:f>IF(C325="Farinheira",'Regras e Listas'!$D$4,IF(C325="Colorífico",'Regras e Listas'!$D$5,IF(C325="Farinha para o Flotamil",'Regras e Listas'!$D$6,0)))</x:f>
        <x:v>0</x:v>
      </x:c>
      <x:c r="N325" s="53" t="n">
        <x:f>K325*M325</x:f>
        <x:v>0</x:v>
      </x:c>
      <x:c r="O325" s="53" t="n">
        <x:f>L325*M325</x:f>
        <x:v>0</x:v>
      </x:c>
      <x:c r="P325" t="str">
        <x:f>IF(OR(B325="CONSUMO",B325="SAÍDA"),IF(ISNUMBER(SEARCH("não seguiu FIFO",I325)),"NÃO CONFORME",IF(ISNUMBER(SEARCH("FIFO automático",I325)),"CONFORME","VERIFICAR")),"")</x:f>
      </x:c>
    </x:row>
    <x:row r="326">
      <x:c r="A326" s="52"/>
      <x:c r="G326" s="53"/>
      <x:c r="K326" s="53" t="n">
        <x:f>IF(B326="ENTRADA",G326,0)</x:f>
        <x:v>0</x:v>
      </x:c>
      <x:c r="L326" s="53" t="n">
        <x:f>IF(OR(B326="CONSUMO",B326="SAÍDA"),G326,0)</x:f>
        <x:v>0</x:v>
      </x:c>
      <x:c r="M326" s="53" t="n">
        <x:f>IF(C326="Farinheira",'Regras e Listas'!$D$4,IF(C326="Colorífico",'Regras e Listas'!$D$5,IF(C326="Farinha para o Flotamil",'Regras e Listas'!$D$6,0)))</x:f>
        <x:v>0</x:v>
      </x:c>
      <x:c r="N326" s="53" t="n">
        <x:f>K326*M326</x:f>
        <x:v>0</x:v>
      </x:c>
      <x:c r="O326" s="53" t="n">
        <x:f>L326*M326</x:f>
        <x:v>0</x:v>
      </x:c>
      <x:c r="P326" t="str">
        <x:f>IF(OR(B326="CONSUMO",B326="SAÍDA"),IF(ISNUMBER(SEARCH("não seguiu FIFO",I326)),"NÃO CONFORME",IF(ISNUMBER(SEARCH("FIFO automático",I326)),"CONFORME","VERIFICAR")),"")</x:f>
      </x:c>
    </x:row>
    <x:row r="327">
      <x:c r="A327" s="52"/>
      <x:c r="G327" s="53"/>
      <x:c r="K327" s="53" t="n">
        <x:f>IF(B327="ENTRADA",G327,0)</x:f>
        <x:v>0</x:v>
      </x:c>
      <x:c r="L327" s="53" t="n">
        <x:f>IF(OR(B327="CONSUMO",B327="SAÍDA"),G327,0)</x:f>
        <x:v>0</x:v>
      </x:c>
      <x:c r="M327" s="53" t="n">
        <x:f>IF(C327="Farinheira",'Regras e Listas'!$D$4,IF(C327="Colorífico",'Regras e Listas'!$D$5,IF(C327="Farinha para o Flotamil",'Regras e Listas'!$D$6,0)))</x:f>
        <x:v>0</x:v>
      </x:c>
      <x:c r="N327" s="53" t="n">
        <x:f>K327*M327</x:f>
        <x:v>0</x:v>
      </x:c>
      <x:c r="O327" s="53" t="n">
        <x:f>L327*M327</x:f>
        <x:v>0</x:v>
      </x:c>
      <x:c r="P327" t="str">
        <x:f>IF(OR(B327="CONSUMO",B327="SAÍDA"),IF(ISNUMBER(SEARCH("não seguiu FIFO",I327)),"NÃO CONFORME",IF(ISNUMBER(SEARCH("FIFO automático",I327)),"CONFORME","VERIFICAR")),"")</x:f>
      </x:c>
    </x:row>
    <x:row r="328">
      <x:c r="A328" s="52"/>
      <x:c r="G328" s="53"/>
      <x:c r="K328" s="53" t="n">
        <x:f>IF(B328="ENTRADA",G328,0)</x:f>
        <x:v>0</x:v>
      </x:c>
      <x:c r="L328" s="53" t="n">
        <x:f>IF(OR(B328="CONSUMO",B328="SAÍDA"),G328,0)</x:f>
        <x:v>0</x:v>
      </x:c>
      <x:c r="M328" s="53" t="n">
        <x:f>IF(C328="Farinheira",'Regras e Listas'!$D$4,IF(C328="Colorífico",'Regras e Listas'!$D$5,IF(C328="Farinha para o Flotamil",'Regras e Listas'!$D$6,0)))</x:f>
        <x:v>0</x:v>
      </x:c>
      <x:c r="N328" s="53" t="n">
        <x:f>K328*M328</x:f>
        <x:v>0</x:v>
      </x:c>
      <x:c r="O328" s="53" t="n">
        <x:f>L328*M328</x:f>
        <x:v>0</x:v>
      </x:c>
      <x:c r="P328" t="str">
        <x:f>IF(OR(B328="CONSUMO",B328="SAÍDA"),IF(ISNUMBER(SEARCH("não seguiu FIFO",I328)),"NÃO CONFORME",IF(ISNUMBER(SEARCH("FIFO automático",I328)),"CONFORME","VERIFICAR")),"")</x:f>
      </x:c>
    </x:row>
    <x:row r="329">
      <x:c r="A329" s="52"/>
      <x:c r="G329" s="53"/>
      <x:c r="K329" s="53" t="n">
        <x:f>IF(B329="ENTRADA",G329,0)</x:f>
        <x:v>0</x:v>
      </x:c>
      <x:c r="L329" s="53" t="n">
        <x:f>IF(OR(B329="CONSUMO",B329="SAÍDA"),G329,0)</x:f>
        <x:v>0</x:v>
      </x:c>
      <x:c r="M329" s="53" t="n">
        <x:f>IF(C329="Farinheira",'Regras e Listas'!$D$4,IF(C329="Colorífico",'Regras e Listas'!$D$5,IF(C329="Farinha para o Flotamil",'Regras e Listas'!$D$6,0)))</x:f>
        <x:v>0</x:v>
      </x:c>
      <x:c r="N329" s="53" t="n">
        <x:f>K329*M329</x:f>
        <x:v>0</x:v>
      </x:c>
      <x:c r="O329" s="53" t="n">
        <x:f>L329*M329</x:f>
        <x:v>0</x:v>
      </x:c>
      <x:c r="P329" t="str">
        <x:f>IF(OR(B329="CONSUMO",B329="SAÍDA"),IF(ISNUMBER(SEARCH("não seguiu FIFO",I329)),"NÃO CONFORME",IF(ISNUMBER(SEARCH("FIFO automático",I329)),"CONFORME","VERIFICAR")),"")</x:f>
      </x:c>
    </x:row>
    <x:row r="330">
      <x:c r="A330" s="52"/>
      <x:c r="G330" s="53"/>
      <x:c r="K330" s="53" t="n">
        <x:f>IF(B330="ENTRADA",G330,0)</x:f>
        <x:v>0</x:v>
      </x:c>
      <x:c r="L330" s="53" t="n">
        <x:f>IF(OR(B330="CONSUMO",B330="SAÍDA"),G330,0)</x:f>
        <x:v>0</x:v>
      </x:c>
      <x:c r="M330" s="53" t="n">
        <x:f>IF(C330="Farinheira",'Regras e Listas'!$D$4,IF(C330="Colorífico",'Regras e Listas'!$D$5,IF(C330="Farinha para o Flotamil",'Regras e Listas'!$D$6,0)))</x:f>
        <x:v>0</x:v>
      </x:c>
      <x:c r="N330" s="53" t="n">
        <x:f>K330*M330</x:f>
        <x:v>0</x:v>
      </x:c>
      <x:c r="O330" s="53" t="n">
        <x:f>L330*M330</x:f>
        <x:v>0</x:v>
      </x:c>
      <x:c r="P330" t="str">
        <x:f>IF(OR(B330="CONSUMO",B330="SAÍDA"),IF(ISNUMBER(SEARCH("não seguiu FIFO",I330)),"NÃO CONFORME",IF(ISNUMBER(SEARCH("FIFO automático",I330)),"CONFORME","VERIFICAR")),"")</x:f>
      </x:c>
    </x:row>
    <x:row r="331">
      <x:c r="A331" s="52"/>
      <x:c r="G331" s="53"/>
      <x:c r="K331" s="53" t="n">
        <x:f>IF(B331="ENTRADA",G331,0)</x:f>
        <x:v>0</x:v>
      </x:c>
      <x:c r="L331" s="53" t="n">
        <x:f>IF(OR(B331="CONSUMO",B331="SAÍDA"),G331,0)</x:f>
        <x:v>0</x:v>
      </x:c>
      <x:c r="M331" s="53" t="n">
        <x:f>IF(C331="Farinheira",'Regras e Listas'!$D$4,IF(C331="Colorífico",'Regras e Listas'!$D$5,IF(C331="Farinha para o Flotamil",'Regras e Listas'!$D$6,0)))</x:f>
        <x:v>0</x:v>
      </x:c>
      <x:c r="N331" s="53" t="n">
        <x:f>K331*M331</x:f>
        <x:v>0</x:v>
      </x:c>
      <x:c r="O331" s="53" t="n">
        <x:f>L331*M331</x:f>
        <x:v>0</x:v>
      </x:c>
      <x:c r="P331" t="str">
        <x:f>IF(OR(B331="CONSUMO",B331="SAÍDA"),IF(ISNUMBER(SEARCH("não seguiu FIFO",I331)),"NÃO CONFORME",IF(ISNUMBER(SEARCH("FIFO automático",I331)),"CONFORME","VERIFICAR")),"")</x:f>
      </x:c>
    </x:row>
    <x:row r="332">
      <x:c r="A332" s="52"/>
      <x:c r="G332" s="53"/>
      <x:c r="K332" s="53" t="n">
        <x:f>IF(B332="ENTRADA",G332,0)</x:f>
        <x:v>0</x:v>
      </x:c>
      <x:c r="L332" s="53" t="n">
        <x:f>IF(OR(B332="CONSUMO",B332="SAÍDA"),G332,0)</x:f>
        <x:v>0</x:v>
      </x:c>
      <x:c r="M332" s="53" t="n">
        <x:f>IF(C332="Farinheira",'Regras e Listas'!$D$4,IF(C332="Colorífico",'Regras e Listas'!$D$5,IF(C332="Farinha para o Flotamil",'Regras e Listas'!$D$6,0)))</x:f>
        <x:v>0</x:v>
      </x:c>
      <x:c r="N332" s="53" t="n">
        <x:f>K332*M332</x:f>
        <x:v>0</x:v>
      </x:c>
      <x:c r="O332" s="53" t="n">
        <x:f>L332*M332</x:f>
        <x:v>0</x:v>
      </x:c>
      <x:c r="P332" t="str">
        <x:f>IF(OR(B332="CONSUMO",B332="SAÍDA"),IF(ISNUMBER(SEARCH("não seguiu FIFO",I332)),"NÃO CONFORME",IF(ISNUMBER(SEARCH("FIFO automático",I332)),"CONFORME","VERIFICAR")),"")</x:f>
      </x:c>
    </x:row>
    <x:row r="333">
      <x:c r="A333" s="52"/>
      <x:c r="G333" s="53"/>
      <x:c r="K333" s="53" t="n">
        <x:f>IF(B333="ENTRADA",G333,0)</x:f>
        <x:v>0</x:v>
      </x:c>
      <x:c r="L333" s="53" t="n">
        <x:f>IF(OR(B333="CONSUMO",B333="SAÍDA"),G333,0)</x:f>
        <x:v>0</x:v>
      </x:c>
      <x:c r="M333" s="53" t="n">
        <x:f>IF(C333="Farinheira",'Regras e Listas'!$D$4,IF(C333="Colorífico",'Regras e Listas'!$D$5,IF(C333="Farinha para o Flotamil",'Regras e Listas'!$D$6,0)))</x:f>
        <x:v>0</x:v>
      </x:c>
      <x:c r="N333" s="53" t="n">
        <x:f>K333*M333</x:f>
        <x:v>0</x:v>
      </x:c>
      <x:c r="O333" s="53" t="n">
        <x:f>L333*M333</x:f>
        <x:v>0</x:v>
      </x:c>
      <x:c r="P333" t="str">
        <x:f>IF(OR(B333="CONSUMO",B333="SAÍDA"),IF(ISNUMBER(SEARCH("não seguiu FIFO",I333)),"NÃO CONFORME",IF(ISNUMBER(SEARCH("FIFO automático",I333)),"CONFORME","VERIFICAR")),"")</x:f>
      </x:c>
    </x:row>
    <x:row r="334">
      <x:c r="A334" s="52"/>
      <x:c r="G334" s="53"/>
      <x:c r="K334" s="53" t="n">
        <x:f>IF(B334="ENTRADA",G334,0)</x:f>
        <x:v>0</x:v>
      </x:c>
      <x:c r="L334" s="53" t="n">
        <x:f>IF(OR(B334="CONSUMO",B334="SAÍDA"),G334,0)</x:f>
        <x:v>0</x:v>
      </x:c>
      <x:c r="M334" s="53" t="n">
        <x:f>IF(C334="Farinheira",'Regras e Listas'!$D$4,IF(C334="Colorífico",'Regras e Listas'!$D$5,IF(C334="Farinha para o Flotamil",'Regras e Listas'!$D$6,0)))</x:f>
        <x:v>0</x:v>
      </x:c>
      <x:c r="N334" s="53" t="n">
        <x:f>K334*M334</x:f>
        <x:v>0</x:v>
      </x:c>
      <x:c r="O334" s="53" t="n">
        <x:f>L334*M334</x:f>
        <x:v>0</x:v>
      </x:c>
      <x:c r="P334" t="str">
        <x:f>IF(OR(B334="CONSUMO",B334="SAÍDA"),IF(ISNUMBER(SEARCH("não seguiu FIFO",I334)),"NÃO CONFORME",IF(ISNUMBER(SEARCH("FIFO automático",I334)),"CONFORME","VERIFICAR")),"")</x:f>
      </x:c>
    </x:row>
    <x:row r="335">
      <x:c r="A335" s="52"/>
      <x:c r="G335" s="53"/>
      <x:c r="K335" s="53" t="n">
        <x:f>IF(B335="ENTRADA",G335,0)</x:f>
        <x:v>0</x:v>
      </x:c>
      <x:c r="L335" s="53" t="n">
        <x:f>IF(OR(B335="CONSUMO",B335="SAÍDA"),G335,0)</x:f>
        <x:v>0</x:v>
      </x:c>
      <x:c r="M335" s="53" t="n">
        <x:f>IF(C335="Farinheira",'Regras e Listas'!$D$4,IF(C335="Colorífico",'Regras e Listas'!$D$5,IF(C335="Farinha para o Flotamil",'Regras e Listas'!$D$6,0)))</x:f>
        <x:v>0</x:v>
      </x:c>
      <x:c r="N335" s="53" t="n">
        <x:f>K335*M335</x:f>
        <x:v>0</x:v>
      </x:c>
      <x:c r="O335" s="53" t="n">
        <x:f>L335*M335</x:f>
        <x:v>0</x:v>
      </x:c>
      <x:c r="P335" t="str">
        <x:f>IF(OR(B335="CONSUMO",B335="SAÍDA"),IF(ISNUMBER(SEARCH("não seguiu FIFO",I335)),"NÃO CONFORME",IF(ISNUMBER(SEARCH("FIFO automático",I335)),"CONFORME","VERIFICAR")),"")</x:f>
      </x:c>
    </x:row>
    <x:row r="336">
      <x:c r="A336" s="52"/>
      <x:c r="G336" s="53"/>
      <x:c r="K336" s="53" t="n">
        <x:f>IF(B336="ENTRADA",G336,0)</x:f>
        <x:v>0</x:v>
      </x:c>
      <x:c r="L336" s="53" t="n">
        <x:f>IF(OR(B336="CONSUMO",B336="SAÍDA"),G336,0)</x:f>
        <x:v>0</x:v>
      </x:c>
      <x:c r="M336" s="53" t="n">
        <x:f>IF(C336="Farinheira",'Regras e Listas'!$D$4,IF(C336="Colorífico",'Regras e Listas'!$D$5,IF(C336="Farinha para o Flotamil",'Regras e Listas'!$D$6,0)))</x:f>
        <x:v>0</x:v>
      </x:c>
      <x:c r="N336" s="53" t="n">
        <x:f>K336*M336</x:f>
        <x:v>0</x:v>
      </x:c>
      <x:c r="O336" s="53" t="n">
        <x:f>L336*M336</x:f>
        <x:v>0</x:v>
      </x:c>
      <x:c r="P336" t="str">
        <x:f>IF(OR(B336="CONSUMO",B336="SAÍDA"),IF(ISNUMBER(SEARCH("não seguiu FIFO",I336)),"NÃO CONFORME",IF(ISNUMBER(SEARCH("FIFO automático",I336)),"CONFORME","VERIFICAR")),"")</x:f>
      </x:c>
    </x:row>
    <x:row r="337">
      <x:c r="A337" s="52"/>
      <x:c r="G337" s="53"/>
      <x:c r="K337" s="53" t="n">
        <x:f>IF(B337="ENTRADA",G337,0)</x:f>
        <x:v>0</x:v>
      </x:c>
      <x:c r="L337" s="53" t="n">
        <x:f>IF(OR(B337="CONSUMO",B337="SAÍDA"),G337,0)</x:f>
        <x:v>0</x:v>
      </x:c>
      <x:c r="M337" s="53" t="n">
        <x:f>IF(C337="Farinheira",'Regras e Listas'!$D$4,IF(C337="Colorífico",'Regras e Listas'!$D$5,IF(C337="Farinha para o Flotamil",'Regras e Listas'!$D$6,0)))</x:f>
        <x:v>0</x:v>
      </x:c>
      <x:c r="N337" s="53" t="n">
        <x:f>K337*M337</x:f>
        <x:v>0</x:v>
      </x:c>
      <x:c r="O337" s="53" t="n">
        <x:f>L337*M337</x:f>
        <x:v>0</x:v>
      </x:c>
      <x:c r="P337" t="str">
        <x:f>IF(OR(B337="CONSUMO",B337="SAÍDA"),IF(ISNUMBER(SEARCH("não seguiu FIFO",I337)),"NÃO CONFORME",IF(ISNUMBER(SEARCH("FIFO automático",I337)),"CONFORME","VERIFICAR")),"")</x:f>
      </x:c>
    </x:row>
    <x:row r="338">
      <x:c r="A338" s="52"/>
      <x:c r="G338" s="53"/>
      <x:c r="K338" s="53" t="n">
        <x:f>IF(B338="ENTRADA",G338,0)</x:f>
        <x:v>0</x:v>
      </x:c>
      <x:c r="L338" s="53" t="n">
        <x:f>IF(OR(B338="CONSUMO",B338="SAÍDA"),G338,0)</x:f>
        <x:v>0</x:v>
      </x:c>
      <x:c r="M338" s="53" t="n">
        <x:f>IF(C338="Farinheira",'Regras e Listas'!$D$4,IF(C338="Colorífico",'Regras e Listas'!$D$5,IF(C338="Farinha para o Flotamil",'Regras e Listas'!$D$6,0)))</x:f>
        <x:v>0</x:v>
      </x:c>
      <x:c r="N338" s="53" t="n">
        <x:f>K338*M338</x:f>
        <x:v>0</x:v>
      </x:c>
      <x:c r="O338" s="53" t="n">
        <x:f>L338*M338</x:f>
        <x:v>0</x:v>
      </x:c>
      <x:c r="P338" t="str">
        <x:f>IF(OR(B338="CONSUMO",B338="SAÍDA"),IF(ISNUMBER(SEARCH("não seguiu FIFO",I338)),"NÃO CONFORME",IF(ISNUMBER(SEARCH("FIFO automático",I338)),"CONFORME","VERIFICAR")),"")</x:f>
      </x:c>
    </x:row>
    <x:row r="339">
      <x:c r="A339" s="52"/>
      <x:c r="G339" s="53"/>
      <x:c r="K339" s="53" t="n">
        <x:f>IF(B339="ENTRADA",G339,0)</x:f>
        <x:v>0</x:v>
      </x:c>
      <x:c r="L339" s="53" t="n">
        <x:f>IF(OR(B339="CONSUMO",B339="SAÍDA"),G339,0)</x:f>
        <x:v>0</x:v>
      </x:c>
      <x:c r="M339" s="53" t="n">
        <x:f>IF(C339="Farinheira",'Regras e Listas'!$D$4,IF(C339="Colorífico",'Regras e Listas'!$D$5,IF(C339="Farinha para o Flotamil",'Regras e Listas'!$D$6,0)))</x:f>
        <x:v>0</x:v>
      </x:c>
      <x:c r="N339" s="53" t="n">
        <x:f>K339*M339</x:f>
        <x:v>0</x:v>
      </x:c>
      <x:c r="O339" s="53" t="n">
        <x:f>L339*M339</x:f>
        <x:v>0</x:v>
      </x:c>
      <x:c r="P339" t="str">
        <x:f>IF(OR(B339="CONSUMO",B339="SAÍDA"),IF(ISNUMBER(SEARCH("não seguiu FIFO",I339)),"NÃO CONFORME",IF(ISNUMBER(SEARCH("FIFO automático",I339)),"CONFORME","VERIFICAR")),"")</x:f>
      </x:c>
    </x:row>
    <x:row r="340">
      <x:c r="A340" s="52"/>
      <x:c r="G340" s="53"/>
      <x:c r="K340" s="53" t="n">
        <x:f>IF(B340="ENTRADA",G340,0)</x:f>
        <x:v>0</x:v>
      </x:c>
      <x:c r="L340" s="53" t="n">
        <x:f>IF(OR(B340="CONSUMO",B340="SAÍDA"),G340,0)</x:f>
        <x:v>0</x:v>
      </x:c>
      <x:c r="M340" s="53" t="n">
        <x:f>IF(C340="Farinheira",'Regras e Listas'!$D$4,IF(C340="Colorífico",'Regras e Listas'!$D$5,IF(C340="Farinha para o Flotamil",'Regras e Listas'!$D$6,0)))</x:f>
        <x:v>0</x:v>
      </x:c>
      <x:c r="N340" s="53" t="n">
        <x:f>K340*M340</x:f>
        <x:v>0</x:v>
      </x:c>
      <x:c r="O340" s="53" t="n">
        <x:f>L340*M340</x:f>
        <x:v>0</x:v>
      </x:c>
      <x:c r="P340" t="str">
        <x:f>IF(OR(B340="CONSUMO",B340="SAÍDA"),IF(ISNUMBER(SEARCH("não seguiu FIFO",I340)),"NÃO CONFORME",IF(ISNUMBER(SEARCH("FIFO automático",I340)),"CONFORME","VERIFICAR")),"")</x:f>
      </x:c>
    </x:row>
    <x:row r="341">
      <x:c r="A341" s="52"/>
      <x:c r="G341" s="53"/>
      <x:c r="K341" s="53" t="n">
        <x:f>IF(B341="ENTRADA",G341,0)</x:f>
        <x:v>0</x:v>
      </x:c>
      <x:c r="L341" s="53" t="n">
        <x:f>IF(OR(B341="CONSUMO",B341="SAÍDA"),G341,0)</x:f>
        <x:v>0</x:v>
      </x:c>
      <x:c r="M341" s="53" t="n">
        <x:f>IF(C341="Farinheira",'Regras e Listas'!$D$4,IF(C341="Colorífico",'Regras e Listas'!$D$5,IF(C341="Farinha para o Flotamil",'Regras e Listas'!$D$6,0)))</x:f>
        <x:v>0</x:v>
      </x:c>
      <x:c r="N341" s="53" t="n">
        <x:f>K341*M341</x:f>
        <x:v>0</x:v>
      </x:c>
      <x:c r="O341" s="53" t="n">
        <x:f>L341*M341</x:f>
        <x:v>0</x:v>
      </x:c>
      <x:c r="P341" t="str">
        <x:f>IF(OR(B341="CONSUMO",B341="SAÍDA"),IF(ISNUMBER(SEARCH("não seguiu FIFO",I341)),"NÃO CONFORME",IF(ISNUMBER(SEARCH("FIFO automático",I341)),"CONFORME","VERIFICAR")),"")</x:f>
      </x:c>
    </x:row>
    <x:row r="342">
      <x:c r="A342" s="52"/>
      <x:c r="G342" s="53"/>
      <x:c r="K342" s="53" t="n">
        <x:f>IF(B342="ENTRADA",G342,0)</x:f>
        <x:v>0</x:v>
      </x:c>
      <x:c r="L342" s="53" t="n">
        <x:f>IF(OR(B342="CONSUMO",B342="SAÍDA"),G342,0)</x:f>
        <x:v>0</x:v>
      </x:c>
      <x:c r="M342" s="53" t="n">
        <x:f>IF(C342="Farinheira",'Regras e Listas'!$D$4,IF(C342="Colorífico",'Regras e Listas'!$D$5,IF(C342="Farinha para o Flotamil",'Regras e Listas'!$D$6,0)))</x:f>
        <x:v>0</x:v>
      </x:c>
      <x:c r="N342" s="53" t="n">
        <x:f>K342*M342</x:f>
        <x:v>0</x:v>
      </x:c>
      <x:c r="O342" s="53" t="n">
        <x:f>L342*M342</x:f>
        <x:v>0</x:v>
      </x:c>
      <x:c r="P342" t="str">
        <x:f>IF(OR(B342="CONSUMO",B342="SAÍDA"),IF(ISNUMBER(SEARCH("não seguiu FIFO",I342)),"NÃO CONFORME",IF(ISNUMBER(SEARCH("FIFO automático",I342)),"CONFORME","VERIFICAR")),"")</x:f>
      </x:c>
    </x:row>
    <x:row r="343">
      <x:c r="A343" s="52"/>
      <x:c r="G343" s="53"/>
      <x:c r="K343" s="53" t="n">
        <x:f>IF(B343="ENTRADA",G343,0)</x:f>
        <x:v>0</x:v>
      </x:c>
      <x:c r="L343" s="53" t="n">
        <x:f>IF(OR(B343="CONSUMO",B343="SAÍDA"),G343,0)</x:f>
        <x:v>0</x:v>
      </x:c>
      <x:c r="M343" s="53" t="n">
        <x:f>IF(C343="Farinheira",'Regras e Listas'!$D$4,IF(C343="Colorífico",'Regras e Listas'!$D$5,IF(C343="Farinha para o Flotamil",'Regras e Listas'!$D$6,0)))</x:f>
        <x:v>0</x:v>
      </x:c>
      <x:c r="N343" s="53" t="n">
        <x:f>K343*M343</x:f>
        <x:v>0</x:v>
      </x:c>
      <x:c r="O343" s="53" t="n">
        <x:f>L343*M343</x:f>
        <x:v>0</x:v>
      </x:c>
      <x:c r="P343" t="str">
        <x:f>IF(OR(B343="CONSUMO",B343="SAÍDA"),IF(ISNUMBER(SEARCH("não seguiu FIFO",I343)),"NÃO CONFORME",IF(ISNUMBER(SEARCH("FIFO automático",I343)),"CONFORME","VERIFICAR")),"")</x:f>
      </x:c>
    </x:row>
    <x:row r="344">
      <x:c r="A344" s="52"/>
      <x:c r="G344" s="53"/>
      <x:c r="K344" s="53" t="n">
        <x:f>IF(B344="ENTRADA",G344,0)</x:f>
        <x:v>0</x:v>
      </x:c>
      <x:c r="L344" s="53" t="n">
        <x:f>IF(OR(B344="CONSUMO",B344="SAÍDA"),G344,0)</x:f>
        <x:v>0</x:v>
      </x:c>
      <x:c r="M344" s="53" t="n">
        <x:f>IF(C344="Farinheira",'Regras e Listas'!$D$4,IF(C344="Colorífico",'Regras e Listas'!$D$5,IF(C344="Farinha para o Flotamil",'Regras e Listas'!$D$6,0)))</x:f>
        <x:v>0</x:v>
      </x:c>
      <x:c r="N344" s="53" t="n">
        <x:f>K344*M344</x:f>
        <x:v>0</x:v>
      </x:c>
      <x:c r="O344" s="53" t="n">
        <x:f>L344*M344</x:f>
        <x:v>0</x:v>
      </x:c>
      <x:c r="P344" t="str">
        <x:f>IF(OR(B344="CONSUMO",B344="SAÍDA"),IF(ISNUMBER(SEARCH("não seguiu FIFO",I344)),"NÃO CONFORME",IF(ISNUMBER(SEARCH("FIFO automático",I344)),"CONFORME","VERIFICAR")),"")</x:f>
      </x:c>
    </x:row>
    <x:row r="345">
      <x:c r="A345" s="52"/>
      <x:c r="G345" s="53"/>
      <x:c r="K345" s="53" t="n">
        <x:f>IF(B345="ENTRADA",G345,0)</x:f>
        <x:v>0</x:v>
      </x:c>
      <x:c r="L345" s="53" t="n">
        <x:f>IF(OR(B345="CONSUMO",B345="SAÍDA"),G345,0)</x:f>
        <x:v>0</x:v>
      </x:c>
      <x:c r="M345" s="53" t="n">
        <x:f>IF(C345="Farinheira",'Regras e Listas'!$D$4,IF(C345="Colorífico",'Regras e Listas'!$D$5,IF(C345="Farinha para o Flotamil",'Regras e Listas'!$D$6,0)))</x:f>
        <x:v>0</x:v>
      </x:c>
      <x:c r="N345" s="53" t="n">
        <x:f>K345*M345</x:f>
        <x:v>0</x:v>
      </x:c>
      <x:c r="O345" s="53" t="n">
        <x:f>L345*M345</x:f>
        <x:v>0</x:v>
      </x:c>
      <x:c r="P345" t="str">
        <x:f>IF(OR(B345="CONSUMO",B345="SAÍDA"),IF(ISNUMBER(SEARCH("não seguiu FIFO",I345)),"NÃO CONFORME",IF(ISNUMBER(SEARCH("FIFO automático",I345)),"CONFORME","VERIFICAR")),"")</x:f>
      </x:c>
    </x:row>
    <x:row r="346">
      <x:c r="A346" s="52"/>
      <x:c r="G346" s="53"/>
      <x:c r="K346" s="53" t="n">
        <x:f>IF(B346="ENTRADA",G346,0)</x:f>
        <x:v>0</x:v>
      </x:c>
      <x:c r="L346" s="53" t="n">
        <x:f>IF(OR(B346="CONSUMO",B346="SAÍDA"),G346,0)</x:f>
        <x:v>0</x:v>
      </x:c>
      <x:c r="M346" s="53" t="n">
        <x:f>IF(C346="Farinheira",'Regras e Listas'!$D$4,IF(C346="Colorífico",'Regras e Listas'!$D$5,IF(C346="Farinha para o Flotamil",'Regras e Listas'!$D$6,0)))</x:f>
        <x:v>0</x:v>
      </x:c>
      <x:c r="N346" s="53" t="n">
        <x:f>K346*M346</x:f>
        <x:v>0</x:v>
      </x:c>
      <x:c r="O346" s="53" t="n">
        <x:f>L346*M346</x:f>
        <x:v>0</x:v>
      </x:c>
      <x:c r="P346" t="str">
        <x:f>IF(OR(B346="CONSUMO",B346="SAÍDA"),IF(ISNUMBER(SEARCH("não seguiu FIFO",I346)),"NÃO CONFORME",IF(ISNUMBER(SEARCH("FIFO automático",I346)),"CONFORME","VERIFICAR")),"")</x:f>
      </x:c>
    </x:row>
    <x:row r="347">
      <x:c r="A347" s="52"/>
      <x:c r="G347" s="53"/>
      <x:c r="K347" s="53" t="n">
        <x:f>IF(B347="ENTRADA",G347,0)</x:f>
        <x:v>0</x:v>
      </x:c>
      <x:c r="L347" s="53" t="n">
        <x:f>IF(OR(B347="CONSUMO",B347="SAÍDA"),G347,0)</x:f>
        <x:v>0</x:v>
      </x:c>
      <x:c r="M347" s="53" t="n">
        <x:f>IF(C347="Farinheira",'Regras e Listas'!$D$4,IF(C347="Colorífico",'Regras e Listas'!$D$5,IF(C347="Farinha para o Flotamil",'Regras e Listas'!$D$6,0)))</x:f>
        <x:v>0</x:v>
      </x:c>
      <x:c r="N347" s="53" t="n">
        <x:f>K347*M347</x:f>
        <x:v>0</x:v>
      </x:c>
      <x:c r="O347" s="53" t="n">
        <x:f>L347*M347</x:f>
        <x:v>0</x:v>
      </x:c>
      <x:c r="P347" t="str">
        <x:f>IF(OR(B347="CONSUMO",B347="SAÍDA"),IF(ISNUMBER(SEARCH("não seguiu FIFO",I347)),"NÃO CONFORME",IF(ISNUMBER(SEARCH("FIFO automático",I347)),"CONFORME","VERIFICAR")),"")</x:f>
      </x:c>
    </x:row>
    <x:row r="348">
      <x:c r="A348" s="52"/>
      <x:c r="G348" s="53"/>
      <x:c r="K348" s="53" t="n">
        <x:f>IF(B348="ENTRADA",G348,0)</x:f>
        <x:v>0</x:v>
      </x:c>
      <x:c r="L348" s="53" t="n">
        <x:f>IF(OR(B348="CONSUMO",B348="SAÍDA"),G348,0)</x:f>
        <x:v>0</x:v>
      </x:c>
      <x:c r="M348" s="53" t="n">
        <x:f>IF(C348="Farinheira",'Regras e Listas'!$D$4,IF(C348="Colorífico",'Regras e Listas'!$D$5,IF(C348="Farinha para o Flotamil",'Regras e Listas'!$D$6,0)))</x:f>
        <x:v>0</x:v>
      </x:c>
      <x:c r="N348" s="53" t="n">
        <x:f>K348*M348</x:f>
        <x:v>0</x:v>
      </x:c>
      <x:c r="O348" s="53" t="n">
        <x:f>L348*M348</x:f>
        <x:v>0</x:v>
      </x:c>
      <x:c r="P348" t="str">
        <x:f>IF(OR(B348="CONSUMO",B348="SAÍDA"),IF(ISNUMBER(SEARCH("não seguiu FIFO",I348)),"NÃO CONFORME",IF(ISNUMBER(SEARCH("FIFO automático",I348)),"CONFORME","VERIFICAR")),"")</x:f>
      </x:c>
    </x:row>
    <x:row r="349">
      <x:c r="A349" s="52"/>
      <x:c r="G349" s="53"/>
      <x:c r="K349" s="53" t="n">
        <x:f>IF(B349="ENTRADA",G349,0)</x:f>
        <x:v>0</x:v>
      </x:c>
      <x:c r="L349" s="53" t="n">
        <x:f>IF(OR(B349="CONSUMO",B349="SAÍDA"),G349,0)</x:f>
        <x:v>0</x:v>
      </x:c>
      <x:c r="M349" s="53" t="n">
        <x:f>IF(C349="Farinheira",'Regras e Listas'!$D$4,IF(C349="Colorífico",'Regras e Listas'!$D$5,IF(C349="Farinha para o Flotamil",'Regras e Listas'!$D$6,0)))</x:f>
        <x:v>0</x:v>
      </x:c>
      <x:c r="N349" s="53" t="n">
        <x:f>K349*M349</x:f>
        <x:v>0</x:v>
      </x:c>
      <x:c r="O349" s="53" t="n">
        <x:f>L349*M349</x:f>
        <x:v>0</x:v>
      </x:c>
      <x:c r="P349" t="str">
        <x:f>IF(OR(B349="CONSUMO",B349="SAÍDA"),IF(ISNUMBER(SEARCH("não seguiu FIFO",I349)),"NÃO CONFORME",IF(ISNUMBER(SEARCH("FIFO automático",I349)),"CONFORME","VERIFICAR")),"")</x:f>
      </x:c>
    </x:row>
    <x:row r="350">
      <x:c r="A350" s="52"/>
      <x:c r="G350" s="53"/>
      <x:c r="K350" s="53" t="n">
        <x:f>IF(B350="ENTRADA",G350,0)</x:f>
        <x:v>0</x:v>
      </x:c>
      <x:c r="L350" s="53" t="n">
        <x:f>IF(OR(B350="CONSUMO",B350="SAÍDA"),G350,0)</x:f>
        <x:v>0</x:v>
      </x:c>
      <x:c r="M350" s="53" t="n">
        <x:f>IF(C350="Farinheira",'Regras e Listas'!$D$4,IF(C350="Colorífico",'Regras e Listas'!$D$5,IF(C350="Farinha para o Flotamil",'Regras e Listas'!$D$6,0)))</x:f>
        <x:v>0</x:v>
      </x:c>
      <x:c r="N350" s="53" t="n">
        <x:f>K350*M350</x:f>
        <x:v>0</x:v>
      </x:c>
      <x:c r="O350" s="53" t="n">
        <x:f>L350*M350</x:f>
        <x:v>0</x:v>
      </x:c>
      <x:c r="P350" t="str">
        <x:f>IF(OR(B350="CONSUMO",B350="SAÍDA"),IF(ISNUMBER(SEARCH("não seguiu FIFO",I350)),"NÃO CONFORME",IF(ISNUMBER(SEARCH("FIFO automático",I350)),"CONFORME","VERIFICAR")),"")</x:f>
      </x:c>
    </x:row>
    <x:row r="351">
      <x:c r="A351" s="52"/>
      <x:c r="G351" s="53"/>
      <x:c r="K351" s="53" t="n">
        <x:f>IF(B351="ENTRADA",G351,0)</x:f>
        <x:v>0</x:v>
      </x:c>
      <x:c r="L351" s="53" t="n">
        <x:f>IF(OR(B351="CONSUMO",B351="SAÍDA"),G351,0)</x:f>
        <x:v>0</x:v>
      </x:c>
      <x:c r="M351" s="53" t="n">
        <x:f>IF(C351="Farinheira",'Regras e Listas'!$D$4,IF(C351="Colorífico",'Regras e Listas'!$D$5,IF(C351="Farinha para o Flotamil",'Regras e Listas'!$D$6,0)))</x:f>
        <x:v>0</x:v>
      </x:c>
      <x:c r="N351" s="53" t="n">
        <x:f>K351*M351</x:f>
        <x:v>0</x:v>
      </x:c>
      <x:c r="O351" s="53" t="n">
        <x:f>L351*M351</x:f>
        <x:v>0</x:v>
      </x:c>
      <x:c r="P351" t="str">
        <x:f>IF(OR(B351="CONSUMO",B351="SAÍDA"),IF(ISNUMBER(SEARCH("não seguiu FIFO",I351)),"NÃO CONFORME",IF(ISNUMBER(SEARCH("FIFO automático",I351)),"CONFORME","VERIFICAR")),"")</x:f>
      </x:c>
    </x:row>
    <x:row r="352">
      <x:c r="A352" s="52"/>
      <x:c r="G352" s="53"/>
      <x:c r="K352" s="53" t="n">
        <x:f>IF(B352="ENTRADA",G352,0)</x:f>
        <x:v>0</x:v>
      </x:c>
      <x:c r="L352" s="53" t="n">
        <x:f>IF(OR(B352="CONSUMO",B352="SAÍDA"),G352,0)</x:f>
        <x:v>0</x:v>
      </x:c>
      <x:c r="M352" s="53" t="n">
        <x:f>IF(C352="Farinheira",'Regras e Listas'!$D$4,IF(C352="Colorífico",'Regras e Listas'!$D$5,IF(C352="Farinha para o Flotamil",'Regras e Listas'!$D$6,0)))</x:f>
        <x:v>0</x:v>
      </x:c>
      <x:c r="N352" s="53" t="n">
        <x:f>K352*M352</x:f>
        <x:v>0</x:v>
      </x:c>
      <x:c r="O352" s="53" t="n">
        <x:f>L352*M352</x:f>
        <x:v>0</x:v>
      </x:c>
      <x:c r="P352" t="str">
        <x:f>IF(OR(B352="CONSUMO",B352="SAÍDA"),IF(ISNUMBER(SEARCH("não seguiu FIFO",I352)),"NÃO CONFORME",IF(ISNUMBER(SEARCH("FIFO automático",I352)),"CONFORME","VERIFICAR")),"")</x:f>
      </x:c>
    </x:row>
    <x:row r="353">
      <x:c r="A353" s="52"/>
      <x:c r="G353" s="53"/>
      <x:c r="K353" s="53" t="n">
        <x:f>IF(B353="ENTRADA",G353,0)</x:f>
        <x:v>0</x:v>
      </x:c>
      <x:c r="L353" s="53" t="n">
        <x:f>IF(OR(B353="CONSUMO",B353="SAÍDA"),G353,0)</x:f>
        <x:v>0</x:v>
      </x:c>
      <x:c r="M353" s="53" t="n">
        <x:f>IF(C353="Farinheira",'Regras e Listas'!$D$4,IF(C353="Colorífico",'Regras e Listas'!$D$5,IF(C353="Farinha para o Flotamil",'Regras e Listas'!$D$6,0)))</x:f>
        <x:v>0</x:v>
      </x:c>
      <x:c r="N353" s="53" t="n">
        <x:f>K353*M353</x:f>
        <x:v>0</x:v>
      </x:c>
      <x:c r="O353" s="53" t="n">
        <x:f>L353*M353</x:f>
        <x:v>0</x:v>
      </x:c>
      <x:c r="P353" t="str">
        <x:f>IF(OR(B353="CONSUMO",B353="SAÍDA"),IF(ISNUMBER(SEARCH("não seguiu FIFO",I353)),"NÃO CONFORME",IF(ISNUMBER(SEARCH("FIFO automático",I353)),"CONFORME","VERIFICAR")),"")</x:f>
      </x:c>
    </x:row>
    <x:row r="354">
      <x:c r="A354" s="52"/>
      <x:c r="G354" s="53"/>
      <x:c r="K354" s="53" t="n">
        <x:f>IF(B354="ENTRADA",G354,0)</x:f>
        <x:v>0</x:v>
      </x:c>
      <x:c r="L354" s="53" t="n">
        <x:f>IF(OR(B354="CONSUMO",B354="SAÍDA"),G354,0)</x:f>
        <x:v>0</x:v>
      </x:c>
      <x:c r="M354" s="53" t="n">
        <x:f>IF(C354="Farinheira",'Regras e Listas'!$D$4,IF(C354="Colorífico",'Regras e Listas'!$D$5,IF(C354="Farinha para o Flotamil",'Regras e Listas'!$D$6,0)))</x:f>
        <x:v>0</x:v>
      </x:c>
      <x:c r="N354" s="53" t="n">
        <x:f>K354*M354</x:f>
        <x:v>0</x:v>
      </x:c>
      <x:c r="O354" s="53" t="n">
        <x:f>L354*M354</x:f>
        <x:v>0</x:v>
      </x:c>
      <x:c r="P354" t="str">
        <x:f>IF(OR(B354="CONSUMO",B354="SAÍDA"),IF(ISNUMBER(SEARCH("não seguiu FIFO",I354)),"NÃO CONFORME",IF(ISNUMBER(SEARCH("FIFO automático",I354)),"CONFORME","VERIFICAR")),"")</x:f>
      </x:c>
    </x:row>
    <x:row r="355">
      <x:c r="A355" s="52"/>
      <x:c r="G355" s="53"/>
      <x:c r="K355" s="53" t="n">
        <x:f>IF(B355="ENTRADA",G355,0)</x:f>
        <x:v>0</x:v>
      </x:c>
      <x:c r="L355" s="53" t="n">
        <x:f>IF(OR(B355="CONSUMO",B355="SAÍDA"),G355,0)</x:f>
        <x:v>0</x:v>
      </x:c>
      <x:c r="M355" s="53" t="n">
        <x:f>IF(C355="Farinheira",'Regras e Listas'!$D$4,IF(C355="Colorífico",'Regras e Listas'!$D$5,IF(C355="Farinha para o Flotamil",'Regras e Listas'!$D$6,0)))</x:f>
        <x:v>0</x:v>
      </x:c>
      <x:c r="N355" s="53" t="n">
        <x:f>K355*M355</x:f>
        <x:v>0</x:v>
      </x:c>
      <x:c r="O355" s="53" t="n">
        <x:f>L355*M355</x:f>
        <x:v>0</x:v>
      </x:c>
      <x:c r="P355" t="str">
        <x:f>IF(OR(B355="CONSUMO",B355="SAÍDA"),IF(ISNUMBER(SEARCH("não seguiu FIFO",I355)),"NÃO CONFORME",IF(ISNUMBER(SEARCH("FIFO automático",I355)),"CONFORME","VERIFICAR")),"")</x:f>
      </x:c>
    </x:row>
    <x:row r="356">
      <x:c r="A356" s="52"/>
      <x:c r="G356" s="53"/>
      <x:c r="K356" s="53" t="n">
        <x:f>IF(B356="ENTRADA",G356,0)</x:f>
        <x:v>0</x:v>
      </x:c>
      <x:c r="L356" s="53" t="n">
        <x:f>IF(OR(B356="CONSUMO",B356="SAÍDA"),G356,0)</x:f>
        <x:v>0</x:v>
      </x:c>
      <x:c r="M356" s="53" t="n">
        <x:f>IF(C356="Farinheira",'Regras e Listas'!$D$4,IF(C356="Colorífico",'Regras e Listas'!$D$5,IF(C356="Farinha para o Flotamil",'Regras e Listas'!$D$6,0)))</x:f>
        <x:v>0</x:v>
      </x:c>
      <x:c r="N356" s="53" t="n">
        <x:f>K356*M356</x:f>
        <x:v>0</x:v>
      </x:c>
      <x:c r="O356" s="53" t="n">
        <x:f>L356*M356</x:f>
        <x:v>0</x:v>
      </x:c>
      <x:c r="P356" t="str">
        <x:f>IF(OR(B356="CONSUMO",B356="SAÍDA"),IF(ISNUMBER(SEARCH("não seguiu FIFO",I356)),"NÃO CONFORME",IF(ISNUMBER(SEARCH("FIFO automático",I356)),"CONFORME","VERIFICAR")),"")</x:f>
      </x:c>
    </x:row>
    <x:row r="357">
      <x:c r="A357" s="52"/>
      <x:c r="G357" s="53"/>
      <x:c r="K357" s="53" t="n">
        <x:f>IF(B357="ENTRADA",G357,0)</x:f>
        <x:v>0</x:v>
      </x:c>
      <x:c r="L357" s="53" t="n">
        <x:f>IF(OR(B357="CONSUMO",B357="SAÍDA"),G357,0)</x:f>
        <x:v>0</x:v>
      </x:c>
      <x:c r="M357" s="53" t="n">
        <x:f>IF(C357="Farinheira",'Regras e Listas'!$D$4,IF(C357="Colorífico",'Regras e Listas'!$D$5,IF(C357="Farinha para o Flotamil",'Regras e Listas'!$D$6,0)))</x:f>
        <x:v>0</x:v>
      </x:c>
      <x:c r="N357" s="53" t="n">
        <x:f>K357*M357</x:f>
        <x:v>0</x:v>
      </x:c>
      <x:c r="O357" s="53" t="n">
        <x:f>L357*M357</x:f>
        <x:v>0</x:v>
      </x:c>
      <x:c r="P357" t="str">
        <x:f>IF(OR(B357="CONSUMO",B357="SAÍDA"),IF(ISNUMBER(SEARCH("não seguiu FIFO",I357)),"NÃO CONFORME",IF(ISNUMBER(SEARCH("FIFO automático",I357)),"CONFORME","VERIFICAR")),"")</x:f>
      </x:c>
    </x:row>
    <x:row r="358">
      <x:c r="A358" s="52"/>
      <x:c r="G358" s="53"/>
      <x:c r="K358" s="53" t="n">
        <x:f>IF(B358="ENTRADA",G358,0)</x:f>
        <x:v>0</x:v>
      </x:c>
      <x:c r="L358" s="53" t="n">
        <x:f>IF(OR(B358="CONSUMO",B358="SAÍDA"),G358,0)</x:f>
        <x:v>0</x:v>
      </x:c>
      <x:c r="M358" s="53" t="n">
        <x:f>IF(C358="Farinheira",'Regras e Listas'!$D$4,IF(C358="Colorífico",'Regras e Listas'!$D$5,IF(C358="Farinha para o Flotamil",'Regras e Listas'!$D$6,0)))</x:f>
        <x:v>0</x:v>
      </x:c>
      <x:c r="N358" s="53" t="n">
        <x:f>K358*M358</x:f>
        <x:v>0</x:v>
      </x:c>
      <x:c r="O358" s="53" t="n">
        <x:f>L358*M358</x:f>
        <x:v>0</x:v>
      </x:c>
      <x:c r="P358" t="str">
        <x:f>IF(OR(B358="CONSUMO",B358="SAÍDA"),IF(ISNUMBER(SEARCH("não seguiu FIFO",I358)),"NÃO CONFORME",IF(ISNUMBER(SEARCH("FIFO automático",I358)),"CONFORME","VERIFICAR")),"")</x:f>
      </x:c>
    </x:row>
    <x:row r="359">
      <x:c r="A359" s="52"/>
      <x:c r="G359" s="53"/>
      <x:c r="K359" s="53" t="n">
        <x:f>IF(B359="ENTRADA",G359,0)</x:f>
        <x:v>0</x:v>
      </x:c>
      <x:c r="L359" s="53" t="n">
        <x:f>IF(OR(B359="CONSUMO",B359="SAÍDA"),G359,0)</x:f>
        <x:v>0</x:v>
      </x:c>
      <x:c r="M359" s="53" t="n">
        <x:f>IF(C359="Farinheira",'Regras e Listas'!$D$4,IF(C359="Colorífico",'Regras e Listas'!$D$5,IF(C359="Farinha para o Flotamil",'Regras e Listas'!$D$6,0)))</x:f>
        <x:v>0</x:v>
      </x:c>
      <x:c r="N359" s="53" t="n">
        <x:f>K359*M359</x:f>
        <x:v>0</x:v>
      </x:c>
      <x:c r="O359" s="53" t="n">
        <x:f>L359*M359</x:f>
        <x:v>0</x:v>
      </x:c>
      <x:c r="P359" t="str">
        <x:f>IF(OR(B359="CONSUMO",B359="SAÍDA"),IF(ISNUMBER(SEARCH("não seguiu FIFO",I359)),"NÃO CONFORME",IF(ISNUMBER(SEARCH("FIFO automático",I359)),"CONFORME","VERIFICAR")),"")</x:f>
      </x:c>
    </x:row>
    <x:row r="360">
      <x:c r="A360" s="52"/>
      <x:c r="G360" s="53"/>
      <x:c r="K360" s="53" t="n">
        <x:f>IF(B360="ENTRADA",G360,0)</x:f>
        <x:v>0</x:v>
      </x:c>
      <x:c r="L360" s="53" t="n">
        <x:f>IF(OR(B360="CONSUMO",B360="SAÍDA"),G360,0)</x:f>
        <x:v>0</x:v>
      </x:c>
      <x:c r="M360" s="53" t="n">
        <x:f>IF(C360="Farinheira",'Regras e Listas'!$D$4,IF(C360="Colorífico",'Regras e Listas'!$D$5,IF(C360="Farinha para o Flotamil",'Regras e Listas'!$D$6,0)))</x:f>
        <x:v>0</x:v>
      </x:c>
      <x:c r="N360" s="53" t="n">
        <x:f>K360*M360</x:f>
        <x:v>0</x:v>
      </x:c>
      <x:c r="O360" s="53" t="n">
        <x:f>L360*M360</x:f>
        <x:v>0</x:v>
      </x:c>
      <x:c r="P360" t="str">
        <x:f>IF(OR(B360="CONSUMO",B360="SAÍDA"),IF(ISNUMBER(SEARCH("não seguiu FIFO",I360)),"NÃO CONFORME",IF(ISNUMBER(SEARCH("FIFO automático",I360)),"CONFORME","VERIFICAR")),"")</x:f>
      </x:c>
    </x:row>
    <x:row r="361">
      <x:c r="A361" s="52"/>
      <x:c r="G361" s="53"/>
      <x:c r="K361" s="53" t="n">
        <x:f>IF(B361="ENTRADA",G361,0)</x:f>
        <x:v>0</x:v>
      </x:c>
      <x:c r="L361" s="53" t="n">
        <x:f>IF(OR(B361="CONSUMO",B361="SAÍDA"),G361,0)</x:f>
        <x:v>0</x:v>
      </x:c>
      <x:c r="M361" s="53" t="n">
        <x:f>IF(C361="Farinheira",'Regras e Listas'!$D$4,IF(C361="Colorífico",'Regras e Listas'!$D$5,IF(C361="Farinha para o Flotamil",'Regras e Listas'!$D$6,0)))</x:f>
        <x:v>0</x:v>
      </x:c>
      <x:c r="N361" s="53" t="n">
        <x:f>K361*M361</x:f>
        <x:v>0</x:v>
      </x:c>
      <x:c r="O361" s="53" t="n">
        <x:f>L361*M361</x:f>
        <x:v>0</x:v>
      </x:c>
      <x:c r="P361" t="str">
        <x:f>IF(OR(B361="CONSUMO",B361="SAÍDA"),IF(ISNUMBER(SEARCH("não seguiu FIFO",I361)),"NÃO CONFORME",IF(ISNUMBER(SEARCH("FIFO automático",I361)),"CONFORME","VERIFICAR")),"")</x:f>
      </x:c>
    </x:row>
    <x:row r="362">
      <x:c r="A362" s="52"/>
      <x:c r="G362" s="53"/>
      <x:c r="K362" s="53" t="n">
        <x:f>IF(B362="ENTRADA",G362,0)</x:f>
        <x:v>0</x:v>
      </x:c>
      <x:c r="L362" s="53" t="n">
        <x:f>IF(OR(B362="CONSUMO",B362="SAÍDA"),G362,0)</x:f>
        <x:v>0</x:v>
      </x:c>
      <x:c r="M362" s="53" t="n">
        <x:f>IF(C362="Farinheira",'Regras e Listas'!$D$4,IF(C362="Colorífico",'Regras e Listas'!$D$5,IF(C362="Farinha para o Flotamil",'Regras e Listas'!$D$6,0)))</x:f>
        <x:v>0</x:v>
      </x:c>
      <x:c r="N362" s="53" t="n">
        <x:f>K362*M362</x:f>
        <x:v>0</x:v>
      </x:c>
      <x:c r="O362" s="53" t="n">
        <x:f>L362*M362</x:f>
        <x:v>0</x:v>
      </x:c>
      <x:c r="P362" t="str">
        <x:f>IF(OR(B362="CONSUMO",B362="SAÍDA"),IF(ISNUMBER(SEARCH("não seguiu FIFO",I362)),"NÃO CONFORME",IF(ISNUMBER(SEARCH("FIFO automático",I362)),"CONFORME","VERIFICAR")),"")</x:f>
      </x:c>
    </x:row>
    <x:row r="363">
      <x:c r="A363" s="52"/>
      <x:c r="G363" s="53"/>
      <x:c r="K363" s="53" t="n">
        <x:f>IF(B363="ENTRADA",G363,0)</x:f>
        <x:v>0</x:v>
      </x:c>
      <x:c r="L363" s="53" t="n">
        <x:f>IF(OR(B363="CONSUMO",B363="SAÍDA"),G363,0)</x:f>
        <x:v>0</x:v>
      </x:c>
      <x:c r="M363" s="53" t="n">
        <x:f>IF(C363="Farinheira",'Regras e Listas'!$D$4,IF(C363="Colorífico",'Regras e Listas'!$D$5,IF(C363="Farinha para o Flotamil",'Regras e Listas'!$D$6,0)))</x:f>
        <x:v>0</x:v>
      </x:c>
      <x:c r="N363" s="53" t="n">
        <x:f>K363*M363</x:f>
        <x:v>0</x:v>
      </x:c>
      <x:c r="O363" s="53" t="n">
        <x:f>L363*M363</x:f>
        <x:v>0</x:v>
      </x:c>
      <x:c r="P363" t="str">
        <x:f>IF(OR(B363="CONSUMO",B363="SAÍDA"),IF(ISNUMBER(SEARCH("não seguiu FIFO",I363)),"NÃO CONFORME",IF(ISNUMBER(SEARCH("FIFO automático",I363)),"CONFORME","VERIFICAR")),"")</x:f>
      </x:c>
    </x:row>
    <x:row r="364">
      <x:c r="A364" s="52"/>
      <x:c r="G364" s="53"/>
      <x:c r="K364" s="53" t="n">
        <x:f>IF(B364="ENTRADA",G364,0)</x:f>
        <x:v>0</x:v>
      </x:c>
      <x:c r="L364" s="53" t="n">
        <x:f>IF(OR(B364="CONSUMO",B364="SAÍDA"),G364,0)</x:f>
        <x:v>0</x:v>
      </x:c>
      <x:c r="M364" s="53" t="n">
        <x:f>IF(C364="Farinheira",'Regras e Listas'!$D$4,IF(C364="Colorífico",'Regras e Listas'!$D$5,IF(C364="Farinha para o Flotamil",'Regras e Listas'!$D$6,0)))</x:f>
        <x:v>0</x:v>
      </x:c>
      <x:c r="N364" s="53" t="n">
        <x:f>K364*M364</x:f>
        <x:v>0</x:v>
      </x:c>
      <x:c r="O364" s="53" t="n">
        <x:f>L364*M364</x:f>
        <x:v>0</x:v>
      </x:c>
      <x:c r="P364" t="str">
        <x:f>IF(OR(B364="CONSUMO",B364="SAÍDA"),IF(ISNUMBER(SEARCH("não seguiu FIFO",I364)),"NÃO CONFORME",IF(ISNUMBER(SEARCH("FIFO automático",I364)),"CONFORME","VERIFICAR")),"")</x:f>
      </x:c>
    </x:row>
    <x:row r="365">
      <x:c r="A365" s="52"/>
      <x:c r="G365" s="53"/>
      <x:c r="K365" s="53" t="n">
        <x:f>IF(B365="ENTRADA",G365,0)</x:f>
        <x:v>0</x:v>
      </x:c>
      <x:c r="L365" s="53" t="n">
        <x:f>IF(OR(B365="CONSUMO",B365="SAÍDA"),G365,0)</x:f>
        <x:v>0</x:v>
      </x:c>
      <x:c r="M365" s="53" t="n">
        <x:f>IF(C365="Farinheira",'Regras e Listas'!$D$4,IF(C365="Colorífico",'Regras e Listas'!$D$5,IF(C365="Farinha para o Flotamil",'Regras e Listas'!$D$6,0)))</x:f>
        <x:v>0</x:v>
      </x:c>
      <x:c r="N365" s="53" t="n">
        <x:f>K365*M365</x:f>
        <x:v>0</x:v>
      </x:c>
      <x:c r="O365" s="53" t="n">
        <x:f>L365*M365</x:f>
        <x:v>0</x:v>
      </x:c>
      <x:c r="P365" t="str">
        <x:f>IF(OR(B365="CONSUMO",B365="SAÍDA"),IF(ISNUMBER(SEARCH("não seguiu FIFO",I365)),"NÃO CONFORME",IF(ISNUMBER(SEARCH("FIFO automático",I365)),"CONFORME","VERIFICAR")),"")</x:f>
      </x:c>
    </x:row>
    <x:row r="366">
      <x:c r="A366" s="52"/>
      <x:c r="G366" s="53"/>
      <x:c r="K366" s="53" t="n">
        <x:f>IF(B366="ENTRADA",G366,0)</x:f>
        <x:v>0</x:v>
      </x:c>
      <x:c r="L366" s="53" t="n">
        <x:f>IF(OR(B366="CONSUMO",B366="SAÍDA"),G366,0)</x:f>
        <x:v>0</x:v>
      </x:c>
      <x:c r="M366" s="53" t="n">
        <x:f>IF(C366="Farinheira",'Regras e Listas'!$D$4,IF(C366="Colorífico",'Regras e Listas'!$D$5,IF(C366="Farinha para o Flotamil",'Regras e Listas'!$D$6,0)))</x:f>
        <x:v>0</x:v>
      </x:c>
      <x:c r="N366" s="53" t="n">
        <x:f>K366*M366</x:f>
        <x:v>0</x:v>
      </x:c>
      <x:c r="O366" s="53" t="n">
        <x:f>L366*M366</x:f>
        <x:v>0</x:v>
      </x:c>
      <x:c r="P366" t="str">
        <x:f>IF(OR(B366="CONSUMO",B366="SAÍDA"),IF(ISNUMBER(SEARCH("não seguiu FIFO",I366)),"NÃO CONFORME",IF(ISNUMBER(SEARCH("FIFO automático",I366)),"CONFORME","VERIFICAR")),"")</x:f>
      </x:c>
    </x:row>
    <x:row r="367">
      <x:c r="A367" s="52"/>
      <x:c r="G367" s="53"/>
      <x:c r="K367" s="53" t="n">
        <x:f>IF(B367="ENTRADA",G367,0)</x:f>
        <x:v>0</x:v>
      </x:c>
      <x:c r="L367" s="53" t="n">
        <x:f>IF(OR(B367="CONSUMO",B367="SAÍDA"),G367,0)</x:f>
        <x:v>0</x:v>
      </x:c>
      <x:c r="M367" s="53" t="n">
        <x:f>IF(C367="Farinheira",'Regras e Listas'!$D$4,IF(C367="Colorífico",'Regras e Listas'!$D$5,IF(C367="Farinha para o Flotamil",'Regras e Listas'!$D$6,0)))</x:f>
        <x:v>0</x:v>
      </x:c>
      <x:c r="N367" s="53" t="n">
        <x:f>K367*M367</x:f>
        <x:v>0</x:v>
      </x:c>
      <x:c r="O367" s="53" t="n">
        <x:f>L367*M367</x:f>
        <x:v>0</x:v>
      </x:c>
      <x:c r="P367" t="str">
        <x:f>IF(OR(B367="CONSUMO",B367="SAÍDA"),IF(ISNUMBER(SEARCH("não seguiu FIFO",I367)),"NÃO CONFORME",IF(ISNUMBER(SEARCH("FIFO automático",I367)),"CONFORME","VERIFICAR")),"")</x:f>
      </x:c>
    </x:row>
    <x:row r="368">
      <x:c r="A368" s="52"/>
      <x:c r="G368" s="53"/>
      <x:c r="K368" s="53" t="n">
        <x:f>IF(B368="ENTRADA",G368,0)</x:f>
        <x:v>0</x:v>
      </x:c>
      <x:c r="L368" s="53" t="n">
        <x:f>IF(OR(B368="CONSUMO",B368="SAÍDA"),G368,0)</x:f>
        <x:v>0</x:v>
      </x:c>
      <x:c r="M368" s="53" t="n">
        <x:f>IF(C368="Farinheira",'Regras e Listas'!$D$4,IF(C368="Colorífico",'Regras e Listas'!$D$5,IF(C368="Farinha para o Flotamil",'Regras e Listas'!$D$6,0)))</x:f>
        <x:v>0</x:v>
      </x:c>
      <x:c r="N368" s="53" t="n">
        <x:f>K368*M368</x:f>
        <x:v>0</x:v>
      </x:c>
      <x:c r="O368" s="53" t="n">
        <x:f>L368*M368</x:f>
        <x:v>0</x:v>
      </x:c>
      <x:c r="P368" t="str">
        <x:f>IF(OR(B368="CONSUMO",B368="SAÍDA"),IF(ISNUMBER(SEARCH("não seguiu FIFO",I368)),"NÃO CONFORME",IF(ISNUMBER(SEARCH("FIFO automático",I368)),"CONFORME","VERIFICAR")),"")</x:f>
      </x:c>
    </x:row>
    <x:row r="369">
      <x:c r="A369" s="52"/>
      <x:c r="G369" s="53"/>
      <x:c r="K369" s="53" t="n">
        <x:f>IF(B369="ENTRADA",G369,0)</x:f>
        <x:v>0</x:v>
      </x:c>
      <x:c r="L369" s="53" t="n">
        <x:f>IF(OR(B369="CONSUMO",B369="SAÍDA"),G369,0)</x:f>
        <x:v>0</x:v>
      </x:c>
      <x:c r="M369" s="53" t="n">
        <x:f>IF(C369="Farinheira",'Regras e Listas'!$D$4,IF(C369="Colorífico",'Regras e Listas'!$D$5,IF(C369="Farinha para o Flotamil",'Regras e Listas'!$D$6,0)))</x:f>
        <x:v>0</x:v>
      </x:c>
      <x:c r="N369" s="53" t="n">
        <x:f>K369*M369</x:f>
        <x:v>0</x:v>
      </x:c>
      <x:c r="O369" s="53" t="n">
        <x:f>L369*M369</x:f>
        <x:v>0</x:v>
      </x:c>
      <x:c r="P369" t="str">
        <x:f>IF(OR(B369="CONSUMO",B369="SAÍDA"),IF(ISNUMBER(SEARCH("não seguiu FIFO",I369)),"NÃO CONFORME",IF(ISNUMBER(SEARCH("FIFO automático",I369)),"CONFORME","VERIFICAR")),"")</x:f>
      </x:c>
    </x:row>
    <x:row r="370">
      <x:c r="A370" s="52"/>
      <x:c r="G370" s="53"/>
      <x:c r="K370" s="53" t="n">
        <x:f>IF(B370="ENTRADA",G370,0)</x:f>
        <x:v>0</x:v>
      </x:c>
      <x:c r="L370" s="53" t="n">
        <x:f>IF(OR(B370="CONSUMO",B370="SAÍDA"),G370,0)</x:f>
        <x:v>0</x:v>
      </x:c>
      <x:c r="M370" s="53" t="n">
        <x:f>IF(C370="Farinheira",'Regras e Listas'!$D$4,IF(C370="Colorífico",'Regras e Listas'!$D$5,IF(C370="Farinha para o Flotamil",'Regras e Listas'!$D$6,0)))</x:f>
        <x:v>0</x:v>
      </x:c>
      <x:c r="N370" s="53" t="n">
        <x:f>K370*M370</x:f>
        <x:v>0</x:v>
      </x:c>
      <x:c r="O370" s="53" t="n">
        <x:f>L370*M370</x:f>
        <x:v>0</x:v>
      </x:c>
      <x:c r="P370" t="str">
        <x:f>IF(OR(B370="CONSUMO",B370="SAÍDA"),IF(ISNUMBER(SEARCH("não seguiu FIFO",I370)),"NÃO CONFORME",IF(ISNUMBER(SEARCH("FIFO automático",I370)),"CONFORME","VERIFICAR")),"")</x:f>
      </x:c>
    </x:row>
    <x:row r="371">
      <x:c r="A371" s="52"/>
      <x:c r="G371" s="53"/>
      <x:c r="K371" s="53" t="n">
        <x:f>IF(B371="ENTRADA",G371,0)</x:f>
        <x:v>0</x:v>
      </x:c>
      <x:c r="L371" s="53" t="n">
        <x:f>IF(OR(B371="CONSUMO",B371="SAÍDA"),G371,0)</x:f>
        <x:v>0</x:v>
      </x:c>
      <x:c r="M371" s="53" t="n">
        <x:f>IF(C371="Farinheira",'Regras e Listas'!$D$4,IF(C371="Colorífico",'Regras e Listas'!$D$5,IF(C371="Farinha para o Flotamil",'Regras e Listas'!$D$6,0)))</x:f>
        <x:v>0</x:v>
      </x:c>
      <x:c r="N371" s="53" t="n">
        <x:f>K371*M371</x:f>
        <x:v>0</x:v>
      </x:c>
      <x:c r="O371" s="53" t="n">
        <x:f>L371*M371</x:f>
        <x:v>0</x:v>
      </x:c>
      <x:c r="P371" t="str">
        <x:f>IF(OR(B371="CONSUMO",B371="SAÍDA"),IF(ISNUMBER(SEARCH("não seguiu FIFO",I371)),"NÃO CONFORME",IF(ISNUMBER(SEARCH("FIFO automático",I371)),"CONFORME","VERIFICAR")),"")</x:f>
      </x:c>
    </x:row>
    <x:row r="372">
      <x:c r="A372" s="52"/>
      <x:c r="G372" s="53"/>
      <x:c r="K372" s="53" t="n">
        <x:f>IF(B372="ENTRADA",G372,0)</x:f>
        <x:v>0</x:v>
      </x:c>
      <x:c r="L372" s="53" t="n">
        <x:f>IF(OR(B372="CONSUMO",B372="SAÍDA"),G372,0)</x:f>
        <x:v>0</x:v>
      </x:c>
      <x:c r="M372" s="53" t="n">
        <x:f>IF(C372="Farinheira",'Regras e Listas'!$D$4,IF(C372="Colorífico",'Regras e Listas'!$D$5,IF(C372="Farinha para o Flotamil",'Regras e Listas'!$D$6,0)))</x:f>
        <x:v>0</x:v>
      </x:c>
      <x:c r="N372" s="53" t="n">
        <x:f>K372*M372</x:f>
        <x:v>0</x:v>
      </x:c>
      <x:c r="O372" s="53" t="n">
        <x:f>L372*M372</x:f>
        <x:v>0</x:v>
      </x:c>
      <x:c r="P372" t="str">
        <x:f>IF(OR(B372="CONSUMO",B372="SAÍDA"),IF(ISNUMBER(SEARCH("não seguiu FIFO",I372)),"NÃO CONFORME",IF(ISNUMBER(SEARCH("FIFO automático",I372)),"CONFORME","VERIFICAR")),"")</x:f>
      </x:c>
    </x:row>
    <x:row r="373">
      <x:c r="A373" s="52"/>
      <x:c r="G373" s="53"/>
      <x:c r="K373" s="53" t="n">
        <x:f>IF(B373="ENTRADA",G373,0)</x:f>
        <x:v>0</x:v>
      </x:c>
      <x:c r="L373" s="53" t="n">
        <x:f>IF(OR(B373="CONSUMO",B373="SAÍDA"),G373,0)</x:f>
        <x:v>0</x:v>
      </x:c>
      <x:c r="M373" s="53" t="n">
        <x:f>IF(C373="Farinheira",'Regras e Listas'!$D$4,IF(C373="Colorífico",'Regras e Listas'!$D$5,IF(C373="Farinha para o Flotamil",'Regras e Listas'!$D$6,0)))</x:f>
        <x:v>0</x:v>
      </x:c>
      <x:c r="N373" s="53" t="n">
        <x:f>K373*M373</x:f>
        <x:v>0</x:v>
      </x:c>
      <x:c r="O373" s="53" t="n">
        <x:f>L373*M373</x:f>
        <x:v>0</x:v>
      </x:c>
      <x:c r="P373" t="str">
        <x:f>IF(OR(B373="CONSUMO",B373="SAÍDA"),IF(ISNUMBER(SEARCH("não seguiu FIFO",I373)),"NÃO CONFORME",IF(ISNUMBER(SEARCH("FIFO automático",I373)),"CONFORME","VERIFICAR")),"")</x:f>
      </x:c>
    </x:row>
    <x:row r="374">
      <x:c r="A374" s="52"/>
      <x:c r="G374" s="53"/>
      <x:c r="K374" s="53" t="n">
        <x:f>IF(B374="ENTRADA",G374,0)</x:f>
        <x:v>0</x:v>
      </x:c>
      <x:c r="L374" s="53" t="n">
        <x:f>IF(OR(B374="CONSUMO",B374="SAÍDA"),G374,0)</x:f>
        <x:v>0</x:v>
      </x:c>
      <x:c r="M374" s="53" t="n">
        <x:f>IF(C374="Farinheira",'Regras e Listas'!$D$4,IF(C374="Colorífico",'Regras e Listas'!$D$5,IF(C374="Farinha para o Flotamil",'Regras e Listas'!$D$6,0)))</x:f>
        <x:v>0</x:v>
      </x:c>
      <x:c r="N374" s="53" t="n">
        <x:f>K374*M374</x:f>
        <x:v>0</x:v>
      </x:c>
      <x:c r="O374" s="53" t="n">
        <x:f>L374*M374</x:f>
        <x:v>0</x:v>
      </x:c>
      <x:c r="P374" t="str">
        <x:f>IF(OR(B374="CONSUMO",B374="SAÍDA"),IF(ISNUMBER(SEARCH("não seguiu FIFO",I374)),"NÃO CONFORME",IF(ISNUMBER(SEARCH("FIFO automático",I374)),"CONFORME","VERIFICAR")),"")</x:f>
      </x:c>
    </x:row>
    <x:row r="375">
      <x:c r="A375" s="52"/>
      <x:c r="G375" s="53"/>
      <x:c r="K375" s="53" t="n">
        <x:f>IF(B375="ENTRADA",G375,0)</x:f>
        <x:v>0</x:v>
      </x:c>
      <x:c r="L375" s="53" t="n">
        <x:f>IF(OR(B375="CONSUMO",B375="SAÍDA"),G375,0)</x:f>
        <x:v>0</x:v>
      </x:c>
      <x:c r="M375" s="53" t="n">
        <x:f>IF(C375="Farinheira",'Regras e Listas'!$D$4,IF(C375="Colorífico",'Regras e Listas'!$D$5,IF(C375="Farinha para o Flotamil",'Regras e Listas'!$D$6,0)))</x:f>
        <x:v>0</x:v>
      </x:c>
      <x:c r="N375" s="53" t="n">
        <x:f>K375*M375</x:f>
        <x:v>0</x:v>
      </x:c>
      <x:c r="O375" s="53" t="n">
        <x:f>L375*M375</x:f>
        <x:v>0</x:v>
      </x:c>
      <x:c r="P375" t="str">
        <x:f>IF(OR(B375="CONSUMO",B375="SAÍDA"),IF(ISNUMBER(SEARCH("não seguiu FIFO",I375)),"NÃO CONFORME",IF(ISNUMBER(SEARCH("FIFO automático",I375)),"CONFORME","VERIFICAR")),"")</x:f>
      </x:c>
    </x:row>
    <x:row r="376">
      <x:c r="A376" s="52"/>
      <x:c r="G376" s="53"/>
      <x:c r="K376" s="53" t="n">
        <x:f>IF(B376="ENTRADA",G376,0)</x:f>
        <x:v>0</x:v>
      </x:c>
      <x:c r="L376" s="53" t="n">
        <x:f>IF(OR(B376="CONSUMO",B376="SAÍDA"),G376,0)</x:f>
        <x:v>0</x:v>
      </x:c>
      <x:c r="M376" s="53" t="n">
        <x:f>IF(C376="Farinheira",'Regras e Listas'!$D$4,IF(C376="Colorífico",'Regras e Listas'!$D$5,IF(C376="Farinha para o Flotamil",'Regras e Listas'!$D$6,0)))</x:f>
        <x:v>0</x:v>
      </x:c>
      <x:c r="N376" s="53" t="n">
        <x:f>K376*M376</x:f>
        <x:v>0</x:v>
      </x:c>
      <x:c r="O376" s="53" t="n">
        <x:f>L376*M376</x:f>
        <x:v>0</x:v>
      </x:c>
      <x:c r="P376" t="str">
        <x:f>IF(OR(B376="CONSUMO",B376="SAÍDA"),IF(ISNUMBER(SEARCH("não seguiu FIFO",I376)),"NÃO CONFORME",IF(ISNUMBER(SEARCH("FIFO automático",I376)),"CONFORME","VERIFICAR")),"")</x:f>
      </x:c>
    </x:row>
    <x:row r="377">
      <x:c r="A377" s="52"/>
      <x:c r="G377" s="53"/>
      <x:c r="K377" s="53" t="n">
        <x:f>IF(B377="ENTRADA",G377,0)</x:f>
        <x:v>0</x:v>
      </x:c>
      <x:c r="L377" s="53" t="n">
        <x:f>IF(OR(B377="CONSUMO",B377="SAÍDA"),G377,0)</x:f>
        <x:v>0</x:v>
      </x:c>
      <x:c r="M377" s="53" t="n">
        <x:f>IF(C377="Farinheira",'Regras e Listas'!$D$4,IF(C377="Colorífico",'Regras e Listas'!$D$5,IF(C377="Farinha para o Flotamil",'Regras e Listas'!$D$6,0)))</x:f>
        <x:v>0</x:v>
      </x:c>
      <x:c r="N377" s="53" t="n">
        <x:f>K377*M377</x:f>
        <x:v>0</x:v>
      </x:c>
      <x:c r="O377" s="53" t="n">
        <x:f>L377*M377</x:f>
        <x:v>0</x:v>
      </x:c>
      <x:c r="P377" t="str">
        <x:f>IF(OR(B377="CONSUMO",B377="SAÍDA"),IF(ISNUMBER(SEARCH("não seguiu FIFO",I377)),"NÃO CONFORME",IF(ISNUMBER(SEARCH("FIFO automático",I377)),"CONFORME","VERIFICAR")),"")</x:f>
      </x:c>
    </x:row>
    <x:row r="378">
      <x:c r="A378" s="52"/>
      <x:c r="G378" s="53"/>
      <x:c r="K378" s="53" t="n">
        <x:f>IF(B378="ENTRADA",G378,0)</x:f>
        <x:v>0</x:v>
      </x:c>
      <x:c r="L378" s="53" t="n">
        <x:f>IF(OR(B378="CONSUMO",B378="SAÍDA"),G378,0)</x:f>
        <x:v>0</x:v>
      </x:c>
      <x:c r="M378" s="53" t="n">
        <x:f>IF(C378="Farinheira",'Regras e Listas'!$D$4,IF(C378="Colorífico",'Regras e Listas'!$D$5,IF(C378="Farinha para o Flotamil",'Regras e Listas'!$D$6,0)))</x:f>
        <x:v>0</x:v>
      </x:c>
      <x:c r="N378" s="53" t="n">
        <x:f>K378*M378</x:f>
        <x:v>0</x:v>
      </x:c>
      <x:c r="O378" s="53" t="n">
        <x:f>L378*M378</x:f>
        <x:v>0</x:v>
      </x:c>
      <x:c r="P378" t="str">
        <x:f>IF(OR(B378="CONSUMO",B378="SAÍDA"),IF(ISNUMBER(SEARCH("não seguiu FIFO",I378)),"NÃO CONFORME",IF(ISNUMBER(SEARCH("FIFO automático",I378)),"CONFORME","VERIFICAR")),"")</x:f>
      </x:c>
    </x:row>
    <x:row r="379">
      <x:c r="A379" s="52"/>
      <x:c r="G379" s="53"/>
      <x:c r="K379" s="53" t="n">
        <x:f>IF(B379="ENTRADA",G379,0)</x:f>
        <x:v>0</x:v>
      </x:c>
      <x:c r="L379" s="53" t="n">
        <x:f>IF(OR(B379="CONSUMO",B379="SAÍDA"),G379,0)</x:f>
        <x:v>0</x:v>
      </x:c>
      <x:c r="M379" s="53" t="n">
        <x:f>IF(C379="Farinheira",'Regras e Listas'!$D$4,IF(C379="Colorífico",'Regras e Listas'!$D$5,IF(C379="Farinha para o Flotamil",'Regras e Listas'!$D$6,0)))</x:f>
        <x:v>0</x:v>
      </x:c>
      <x:c r="N379" s="53" t="n">
        <x:f>K379*M379</x:f>
        <x:v>0</x:v>
      </x:c>
      <x:c r="O379" s="53" t="n">
        <x:f>L379*M379</x:f>
        <x:v>0</x:v>
      </x:c>
      <x:c r="P379" t="str">
        <x:f>IF(OR(B379="CONSUMO",B379="SAÍDA"),IF(ISNUMBER(SEARCH("não seguiu FIFO",I379)),"NÃO CONFORME",IF(ISNUMBER(SEARCH("FIFO automático",I379)),"CONFORME","VERIFICAR")),"")</x:f>
      </x:c>
    </x:row>
    <x:row r="380">
      <x:c r="A380" s="52"/>
      <x:c r="G380" s="53"/>
      <x:c r="K380" s="53" t="n">
        <x:f>IF(B380="ENTRADA",G380,0)</x:f>
        <x:v>0</x:v>
      </x:c>
      <x:c r="L380" s="53" t="n">
        <x:f>IF(OR(B380="CONSUMO",B380="SAÍDA"),G380,0)</x:f>
        <x:v>0</x:v>
      </x:c>
      <x:c r="M380" s="53" t="n">
        <x:f>IF(C380="Farinheira",'Regras e Listas'!$D$4,IF(C380="Colorífico",'Regras e Listas'!$D$5,IF(C380="Farinha para o Flotamil",'Regras e Listas'!$D$6,0)))</x:f>
        <x:v>0</x:v>
      </x:c>
      <x:c r="N380" s="53" t="n">
        <x:f>K380*M380</x:f>
        <x:v>0</x:v>
      </x:c>
      <x:c r="O380" s="53" t="n">
        <x:f>L380*M380</x:f>
        <x:v>0</x:v>
      </x:c>
      <x:c r="P380" t="str">
        <x:f>IF(OR(B380="CONSUMO",B380="SAÍDA"),IF(ISNUMBER(SEARCH("não seguiu FIFO",I380)),"NÃO CONFORME",IF(ISNUMBER(SEARCH("FIFO automático",I380)),"CONFORME","VERIFICAR")),"")</x:f>
      </x:c>
    </x:row>
    <x:row r="381">
      <x:c r="A381" s="52"/>
      <x:c r="G381" s="53"/>
      <x:c r="K381" s="53" t="n">
        <x:f>IF(B381="ENTRADA",G381,0)</x:f>
        <x:v>0</x:v>
      </x:c>
      <x:c r="L381" s="53" t="n">
        <x:f>IF(OR(B381="CONSUMO",B381="SAÍDA"),G381,0)</x:f>
        <x:v>0</x:v>
      </x:c>
      <x:c r="M381" s="53" t="n">
        <x:f>IF(C381="Farinheira",'Regras e Listas'!$D$4,IF(C381="Colorífico",'Regras e Listas'!$D$5,IF(C381="Farinha para o Flotamil",'Regras e Listas'!$D$6,0)))</x:f>
        <x:v>0</x:v>
      </x:c>
      <x:c r="N381" s="53" t="n">
        <x:f>K381*M381</x:f>
        <x:v>0</x:v>
      </x:c>
      <x:c r="O381" s="53" t="n">
        <x:f>L381*M381</x:f>
        <x:v>0</x:v>
      </x:c>
      <x:c r="P381" t="str">
        <x:f>IF(OR(B381="CONSUMO",B381="SAÍDA"),IF(ISNUMBER(SEARCH("não seguiu FIFO",I381)),"NÃO CONFORME",IF(ISNUMBER(SEARCH("FIFO automático",I381)),"CONFORME","VERIFICAR")),"")</x:f>
      </x:c>
    </x:row>
    <x:row r="382">
      <x:c r="A382" s="52"/>
      <x:c r="G382" s="53"/>
      <x:c r="K382" s="53" t="n">
        <x:f>IF(B382="ENTRADA",G382,0)</x:f>
        <x:v>0</x:v>
      </x:c>
      <x:c r="L382" s="53" t="n">
        <x:f>IF(OR(B382="CONSUMO",B382="SAÍDA"),G382,0)</x:f>
        <x:v>0</x:v>
      </x:c>
      <x:c r="M382" s="53" t="n">
        <x:f>IF(C382="Farinheira",'Regras e Listas'!$D$4,IF(C382="Colorífico",'Regras e Listas'!$D$5,IF(C382="Farinha para o Flotamil",'Regras e Listas'!$D$6,0)))</x:f>
        <x:v>0</x:v>
      </x:c>
      <x:c r="N382" s="53" t="n">
        <x:f>K382*M382</x:f>
        <x:v>0</x:v>
      </x:c>
      <x:c r="O382" s="53" t="n">
        <x:f>L382*M382</x:f>
        <x:v>0</x:v>
      </x:c>
      <x:c r="P382" t="str">
        <x:f>IF(OR(B382="CONSUMO",B382="SAÍDA"),IF(ISNUMBER(SEARCH("não seguiu FIFO",I382)),"NÃO CONFORME",IF(ISNUMBER(SEARCH("FIFO automático",I382)),"CONFORME","VERIFICAR")),"")</x:f>
      </x:c>
    </x:row>
    <x:row r="383">
      <x:c r="A383" s="52"/>
      <x:c r="G383" s="53"/>
      <x:c r="K383" s="53" t="n">
        <x:f>IF(B383="ENTRADA",G383,0)</x:f>
        <x:v>0</x:v>
      </x:c>
      <x:c r="L383" s="53" t="n">
        <x:f>IF(OR(B383="CONSUMO",B383="SAÍDA"),G383,0)</x:f>
        <x:v>0</x:v>
      </x:c>
      <x:c r="M383" s="53" t="n">
        <x:f>IF(C383="Farinheira",'Regras e Listas'!$D$4,IF(C383="Colorífico",'Regras e Listas'!$D$5,IF(C383="Farinha para o Flotamil",'Regras e Listas'!$D$6,0)))</x:f>
        <x:v>0</x:v>
      </x:c>
      <x:c r="N383" s="53" t="n">
        <x:f>K383*M383</x:f>
        <x:v>0</x:v>
      </x:c>
      <x:c r="O383" s="53" t="n">
        <x:f>L383*M383</x:f>
        <x:v>0</x:v>
      </x:c>
      <x:c r="P383" t="str">
        <x:f>IF(OR(B383="CONSUMO",B383="SAÍDA"),IF(ISNUMBER(SEARCH("não seguiu FIFO",I383)),"NÃO CONFORME",IF(ISNUMBER(SEARCH("FIFO automático",I383)),"CONFORME","VERIFICAR")),"")</x:f>
      </x:c>
    </x:row>
    <x:row r="384">
      <x:c r="A384" s="52"/>
      <x:c r="G384" s="53"/>
      <x:c r="K384" s="53" t="n">
        <x:f>IF(B384="ENTRADA",G384,0)</x:f>
        <x:v>0</x:v>
      </x:c>
      <x:c r="L384" s="53" t="n">
        <x:f>IF(OR(B384="CONSUMO",B384="SAÍDA"),G384,0)</x:f>
        <x:v>0</x:v>
      </x:c>
      <x:c r="M384" s="53" t="n">
        <x:f>IF(C384="Farinheira",'Regras e Listas'!$D$4,IF(C384="Colorífico",'Regras e Listas'!$D$5,IF(C384="Farinha para o Flotamil",'Regras e Listas'!$D$6,0)))</x:f>
        <x:v>0</x:v>
      </x:c>
      <x:c r="N384" s="53" t="n">
        <x:f>K384*M384</x:f>
        <x:v>0</x:v>
      </x:c>
      <x:c r="O384" s="53" t="n">
        <x:f>L384*M384</x:f>
        <x:v>0</x:v>
      </x:c>
      <x:c r="P384" t="str">
        <x:f>IF(OR(B384="CONSUMO",B384="SAÍDA"),IF(ISNUMBER(SEARCH("não seguiu FIFO",I384)),"NÃO CONFORME",IF(ISNUMBER(SEARCH("FIFO automático",I384)),"CONFORME","VERIFICAR")),"")</x:f>
      </x:c>
    </x:row>
    <x:row r="385">
      <x:c r="A385" s="52"/>
      <x:c r="G385" s="53"/>
      <x:c r="K385" s="53" t="n">
        <x:f>IF(B385="ENTRADA",G385,0)</x:f>
        <x:v>0</x:v>
      </x:c>
      <x:c r="L385" s="53" t="n">
        <x:f>IF(OR(B385="CONSUMO",B385="SAÍDA"),G385,0)</x:f>
        <x:v>0</x:v>
      </x:c>
      <x:c r="M385" s="53" t="n">
        <x:f>IF(C385="Farinheira",'Regras e Listas'!$D$4,IF(C385="Colorífico",'Regras e Listas'!$D$5,IF(C385="Farinha para o Flotamil",'Regras e Listas'!$D$6,0)))</x:f>
        <x:v>0</x:v>
      </x:c>
      <x:c r="N385" s="53" t="n">
        <x:f>K385*M385</x:f>
        <x:v>0</x:v>
      </x:c>
      <x:c r="O385" s="53" t="n">
        <x:f>L385*M385</x:f>
        <x:v>0</x:v>
      </x:c>
      <x:c r="P385" t="str">
        <x:f>IF(OR(B385="CONSUMO",B385="SAÍDA"),IF(ISNUMBER(SEARCH("não seguiu FIFO",I385)),"NÃO CONFORME",IF(ISNUMBER(SEARCH("FIFO automático",I385)),"CONFORME","VERIFICAR")),"")</x:f>
      </x:c>
    </x:row>
    <x:row r="386">
      <x:c r="A386" s="52"/>
      <x:c r="G386" s="53"/>
      <x:c r="K386" s="53" t="n">
        <x:f>IF(B386="ENTRADA",G386,0)</x:f>
        <x:v>0</x:v>
      </x:c>
      <x:c r="L386" s="53" t="n">
        <x:f>IF(OR(B386="CONSUMO",B386="SAÍDA"),G386,0)</x:f>
        <x:v>0</x:v>
      </x:c>
      <x:c r="M386" s="53" t="n">
        <x:f>IF(C386="Farinheira",'Regras e Listas'!$D$4,IF(C386="Colorífico",'Regras e Listas'!$D$5,IF(C386="Farinha para o Flotamil",'Regras e Listas'!$D$6,0)))</x:f>
        <x:v>0</x:v>
      </x:c>
      <x:c r="N386" s="53" t="n">
        <x:f>K386*M386</x:f>
        <x:v>0</x:v>
      </x:c>
      <x:c r="O386" s="53" t="n">
        <x:f>L386*M386</x:f>
        <x:v>0</x:v>
      </x:c>
      <x:c r="P386" t="str">
        <x:f>IF(OR(B386="CONSUMO",B386="SAÍDA"),IF(ISNUMBER(SEARCH("não seguiu FIFO",I386)),"NÃO CONFORME",IF(ISNUMBER(SEARCH("FIFO automático",I386)),"CONFORME","VERIFICAR")),"")</x:f>
      </x:c>
    </x:row>
    <x:row r="387">
      <x:c r="A387" s="52"/>
      <x:c r="G387" s="53"/>
      <x:c r="K387" s="53" t="n">
        <x:f>IF(B387="ENTRADA",G387,0)</x:f>
        <x:v>0</x:v>
      </x:c>
      <x:c r="L387" s="53" t="n">
        <x:f>IF(OR(B387="CONSUMO",B387="SAÍDA"),G387,0)</x:f>
        <x:v>0</x:v>
      </x:c>
      <x:c r="M387" s="53" t="n">
        <x:f>IF(C387="Farinheira",'Regras e Listas'!$D$4,IF(C387="Colorífico",'Regras e Listas'!$D$5,IF(C387="Farinha para o Flotamil",'Regras e Listas'!$D$6,0)))</x:f>
        <x:v>0</x:v>
      </x:c>
      <x:c r="N387" s="53" t="n">
        <x:f>K387*M387</x:f>
        <x:v>0</x:v>
      </x:c>
      <x:c r="O387" s="53" t="n">
        <x:f>L387*M387</x:f>
        <x:v>0</x:v>
      </x:c>
      <x:c r="P387" t="str">
        <x:f>IF(OR(B387="CONSUMO",B387="SAÍDA"),IF(ISNUMBER(SEARCH("não seguiu FIFO",I387)),"NÃO CONFORME",IF(ISNUMBER(SEARCH("FIFO automático",I387)),"CONFORME","VERIFICAR")),"")</x:f>
      </x:c>
    </x:row>
    <x:row r="388">
      <x:c r="A388" s="52"/>
      <x:c r="G388" s="53"/>
      <x:c r="K388" s="53" t="n">
        <x:f>IF(B388="ENTRADA",G388,0)</x:f>
        <x:v>0</x:v>
      </x:c>
      <x:c r="L388" s="53" t="n">
        <x:f>IF(OR(B388="CONSUMO",B388="SAÍDA"),G388,0)</x:f>
        <x:v>0</x:v>
      </x:c>
      <x:c r="M388" s="53" t="n">
        <x:f>IF(C388="Farinheira",'Regras e Listas'!$D$4,IF(C388="Colorífico",'Regras e Listas'!$D$5,IF(C388="Farinha para o Flotamil",'Regras e Listas'!$D$6,0)))</x:f>
        <x:v>0</x:v>
      </x:c>
      <x:c r="N388" s="53" t="n">
        <x:f>K388*M388</x:f>
        <x:v>0</x:v>
      </x:c>
      <x:c r="O388" s="53" t="n">
        <x:f>L388*M388</x:f>
        <x:v>0</x:v>
      </x:c>
      <x:c r="P388" t="str">
        <x:f>IF(OR(B388="CONSUMO",B388="SAÍDA"),IF(ISNUMBER(SEARCH("não seguiu FIFO",I388)),"NÃO CONFORME",IF(ISNUMBER(SEARCH("FIFO automático",I388)),"CONFORME","VERIFICAR")),"")</x:f>
      </x:c>
    </x:row>
    <x:row r="389">
      <x:c r="A389" s="52"/>
      <x:c r="G389" s="53"/>
      <x:c r="K389" s="53" t="n">
        <x:f>IF(B389="ENTRADA",G389,0)</x:f>
        <x:v>0</x:v>
      </x:c>
      <x:c r="L389" s="53" t="n">
        <x:f>IF(OR(B389="CONSUMO",B389="SAÍDA"),G389,0)</x:f>
        <x:v>0</x:v>
      </x:c>
      <x:c r="M389" s="53" t="n">
        <x:f>IF(C389="Farinheira",'Regras e Listas'!$D$4,IF(C389="Colorífico",'Regras e Listas'!$D$5,IF(C389="Farinha para o Flotamil",'Regras e Listas'!$D$6,0)))</x:f>
        <x:v>0</x:v>
      </x:c>
      <x:c r="N389" s="53" t="n">
        <x:f>K389*M389</x:f>
        <x:v>0</x:v>
      </x:c>
      <x:c r="O389" s="53" t="n">
        <x:f>L389*M389</x:f>
        <x:v>0</x:v>
      </x:c>
      <x:c r="P389" t="str">
        <x:f>IF(OR(B389="CONSUMO",B389="SAÍDA"),IF(ISNUMBER(SEARCH("não seguiu FIFO",I389)),"NÃO CONFORME",IF(ISNUMBER(SEARCH("FIFO automático",I389)),"CONFORME","VERIFICAR")),"")</x:f>
      </x:c>
    </x:row>
    <x:row r="390">
      <x:c r="A390" s="52"/>
      <x:c r="G390" s="53"/>
      <x:c r="K390" s="53" t="n">
        <x:f>IF(B390="ENTRADA",G390,0)</x:f>
        <x:v>0</x:v>
      </x:c>
      <x:c r="L390" s="53" t="n">
        <x:f>IF(OR(B390="CONSUMO",B390="SAÍDA"),G390,0)</x:f>
        <x:v>0</x:v>
      </x:c>
      <x:c r="M390" s="53" t="n">
        <x:f>IF(C390="Farinheira",'Regras e Listas'!$D$4,IF(C390="Colorífico",'Regras e Listas'!$D$5,IF(C390="Farinha para o Flotamil",'Regras e Listas'!$D$6,0)))</x:f>
        <x:v>0</x:v>
      </x:c>
      <x:c r="N390" s="53" t="n">
        <x:f>K390*M390</x:f>
        <x:v>0</x:v>
      </x:c>
      <x:c r="O390" s="53" t="n">
        <x:f>L390*M390</x:f>
        <x:v>0</x:v>
      </x:c>
      <x:c r="P390" t="str">
        <x:f>IF(OR(B390="CONSUMO",B390="SAÍDA"),IF(ISNUMBER(SEARCH("não seguiu FIFO",I390)),"NÃO CONFORME",IF(ISNUMBER(SEARCH("FIFO automático",I390)),"CONFORME","VERIFICAR")),"")</x:f>
      </x:c>
    </x:row>
    <x:row r="391">
      <x:c r="A391" s="52"/>
      <x:c r="G391" s="53"/>
      <x:c r="K391" s="53" t="n">
        <x:f>IF(B391="ENTRADA",G391,0)</x:f>
        <x:v>0</x:v>
      </x:c>
      <x:c r="L391" s="53" t="n">
        <x:f>IF(OR(B391="CONSUMO",B391="SAÍDA"),G391,0)</x:f>
        <x:v>0</x:v>
      </x:c>
      <x:c r="M391" s="53" t="n">
        <x:f>IF(C391="Farinheira",'Regras e Listas'!$D$4,IF(C391="Colorífico",'Regras e Listas'!$D$5,IF(C391="Farinha para o Flotamil",'Regras e Listas'!$D$6,0)))</x:f>
        <x:v>0</x:v>
      </x:c>
      <x:c r="N391" s="53" t="n">
        <x:f>K391*M391</x:f>
        <x:v>0</x:v>
      </x:c>
      <x:c r="O391" s="53" t="n">
        <x:f>L391*M391</x:f>
        <x:v>0</x:v>
      </x:c>
      <x:c r="P391" t="str">
        <x:f>IF(OR(B391="CONSUMO",B391="SAÍDA"),IF(ISNUMBER(SEARCH("não seguiu FIFO",I391)),"NÃO CONFORME",IF(ISNUMBER(SEARCH("FIFO automático",I391)),"CONFORME","VERIFICAR")),"")</x:f>
      </x:c>
    </x:row>
    <x:row r="392">
      <x:c r="A392" s="52"/>
      <x:c r="G392" s="53"/>
      <x:c r="K392" s="53" t="n">
        <x:f>IF(B392="ENTRADA",G392,0)</x:f>
        <x:v>0</x:v>
      </x:c>
      <x:c r="L392" s="53" t="n">
        <x:f>IF(OR(B392="CONSUMO",B392="SAÍDA"),G392,0)</x:f>
        <x:v>0</x:v>
      </x:c>
      <x:c r="M392" s="53" t="n">
        <x:f>IF(C392="Farinheira",'Regras e Listas'!$D$4,IF(C392="Colorífico",'Regras e Listas'!$D$5,IF(C392="Farinha para o Flotamil",'Regras e Listas'!$D$6,0)))</x:f>
        <x:v>0</x:v>
      </x:c>
      <x:c r="N392" s="53" t="n">
        <x:f>K392*M392</x:f>
        <x:v>0</x:v>
      </x:c>
      <x:c r="O392" s="53" t="n">
        <x:f>L392*M392</x:f>
        <x:v>0</x:v>
      </x:c>
      <x:c r="P392" t="str">
        <x:f>IF(OR(B392="CONSUMO",B392="SAÍDA"),IF(ISNUMBER(SEARCH("não seguiu FIFO",I392)),"NÃO CONFORME",IF(ISNUMBER(SEARCH("FIFO automático",I392)),"CONFORME","VERIFICAR")),"")</x:f>
      </x:c>
    </x:row>
    <x:row r="393">
      <x:c r="A393" s="52"/>
      <x:c r="G393" s="53"/>
      <x:c r="K393" s="53" t="n">
        <x:f>IF(B393="ENTRADA",G393,0)</x:f>
        <x:v>0</x:v>
      </x:c>
      <x:c r="L393" s="53" t="n">
        <x:f>IF(OR(B393="CONSUMO",B393="SAÍDA"),G393,0)</x:f>
        <x:v>0</x:v>
      </x:c>
      <x:c r="M393" s="53" t="n">
        <x:f>IF(C393="Farinheira",'Regras e Listas'!$D$4,IF(C393="Colorífico",'Regras e Listas'!$D$5,IF(C393="Farinha para o Flotamil",'Regras e Listas'!$D$6,0)))</x:f>
        <x:v>0</x:v>
      </x:c>
      <x:c r="N393" s="53" t="n">
        <x:f>K393*M393</x:f>
        <x:v>0</x:v>
      </x:c>
      <x:c r="O393" s="53" t="n">
        <x:f>L393*M393</x:f>
        <x:v>0</x:v>
      </x:c>
      <x:c r="P393" t="str">
        <x:f>IF(OR(B393="CONSUMO",B393="SAÍDA"),IF(ISNUMBER(SEARCH("não seguiu FIFO",I393)),"NÃO CONFORME",IF(ISNUMBER(SEARCH("FIFO automático",I393)),"CONFORME","VERIFICAR")),"")</x:f>
      </x:c>
    </x:row>
    <x:row r="394">
      <x:c r="A394" s="52"/>
      <x:c r="G394" s="53"/>
      <x:c r="K394" s="53" t="n">
        <x:f>IF(B394="ENTRADA",G394,0)</x:f>
        <x:v>0</x:v>
      </x:c>
      <x:c r="L394" s="53" t="n">
        <x:f>IF(OR(B394="CONSUMO",B394="SAÍDA"),G394,0)</x:f>
        <x:v>0</x:v>
      </x:c>
      <x:c r="M394" s="53" t="n">
        <x:f>IF(C394="Farinheira",'Regras e Listas'!$D$4,IF(C394="Colorífico",'Regras e Listas'!$D$5,IF(C394="Farinha para o Flotamil",'Regras e Listas'!$D$6,0)))</x:f>
        <x:v>0</x:v>
      </x:c>
      <x:c r="N394" s="53" t="n">
        <x:f>K394*M394</x:f>
        <x:v>0</x:v>
      </x:c>
      <x:c r="O394" s="53" t="n">
        <x:f>L394*M394</x:f>
        <x:v>0</x:v>
      </x:c>
      <x:c r="P394" t="str">
        <x:f>IF(OR(B394="CONSUMO",B394="SAÍDA"),IF(ISNUMBER(SEARCH("não seguiu FIFO",I394)),"NÃO CONFORME",IF(ISNUMBER(SEARCH("FIFO automático",I394)),"CONFORME","VERIFICAR")),"")</x:f>
      </x:c>
    </x:row>
    <x:row r="395">
      <x:c r="A395" s="52"/>
      <x:c r="G395" s="53"/>
      <x:c r="K395" s="53" t="n">
        <x:f>IF(B395="ENTRADA",G395,0)</x:f>
        <x:v>0</x:v>
      </x:c>
      <x:c r="L395" s="53" t="n">
        <x:f>IF(OR(B395="CONSUMO",B395="SAÍDA"),G395,0)</x:f>
        <x:v>0</x:v>
      </x:c>
      <x:c r="M395" s="53" t="n">
        <x:f>IF(C395="Farinheira",'Regras e Listas'!$D$4,IF(C395="Colorífico",'Regras e Listas'!$D$5,IF(C395="Farinha para o Flotamil",'Regras e Listas'!$D$6,0)))</x:f>
        <x:v>0</x:v>
      </x:c>
      <x:c r="N395" s="53" t="n">
        <x:f>K395*M395</x:f>
        <x:v>0</x:v>
      </x:c>
      <x:c r="O395" s="53" t="n">
        <x:f>L395*M395</x:f>
        <x:v>0</x:v>
      </x:c>
      <x:c r="P395" t="str">
        <x:f>IF(OR(B395="CONSUMO",B395="SAÍDA"),IF(ISNUMBER(SEARCH("não seguiu FIFO",I395)),"NÃO CONFORME",IF(ISNUMBER(SEARCH("FIFO automático",I395)),"CONFORME","VERIFICAR")),"")</x:f>
      </x:c>
    </x:row>
    <x:row r="396">
      <x:c r="A396" s="52"/>
      <x:c r="G396" s="53"/>
      <x:c r="K396" s="53" t="n">
        <x:f>IF(B396="ENTRADA",G396,0)</x:f>
        <x:v>0</x:v>
      </x:c>
      <x:c r="L396" s="53" t="n">
        <x:f>IF(OR(B396="CONSUMO",B396="SAÍDA"),G396,0)</x:f>
        <x:v>0</x:v>
      </x:c>
      <x:c r="M396" s="53" t="n">
        <x:f>IF(C396="Farinheira",'Regras e Listas'!$D$4,IF(C396="Colorífico",'Regras e Listas'!$D$5,IF(C396="Farinha para o Flotamil",'Regras e Listas'!$D$6,0)))</x:f>
        <x:v>0</x:v>
      </x:c>
      <x:c r="N396" s="53" t="n">
        <x:f>K396*M396</x:f>
        <x:v>0</x:v>
      </x:c>
      <x:c r="O396" s="53" t="n">
        <x:f>L396*M396</x:f>
        <x:v>0</x:v>
      </x:c>
      <x:c r="P396" t="str">
        <x:f>IF(OR(B396="CONSUMO",B396="SAÍDA"),IF(ISNUMBER(SEARCH("não seguiu FIFO",I396)),"NÃO CONFORME",IF(ISNUMBER(SEARCH("FIFO automático",I396)),"CONFORME","VERIFICAR")),"")</x:f>
      </x:c>
    </x:row>
    <x:row r="397">
      <x:c r="A397" s="52"/>
      <x:c r="G397" s="53"/>
      <x:c r="K397" s="53" t="n">
        <x:f>IF(B397="ENTRADA",G397,0)</x:f>
        <x:v>0</x:v>
      </x:c>
      <x:c r="L397" s="53" t="n">
        <x:f>IF(OR(B397="CONSUMO",B397="SAÍDA"),G397,0)</x:f>
        <x:v>0</x:v>
      </x:c>
      <x:c r="M397" s="53" t="n">
        <x:f>IF(C397="Farinheira",'Regras e Listas'!$D$4,IF(C397="Colorífico",'Regras e Listas'!$D$5,IF(C397="Farinha para o Flotamil",'Regras e Listas'!$D$6,0)))</x:f>
        <x:v>0</x:v>
      </x:c>
      <x:c r="N397" s="53" t="n">
        <x:f>K397*M397</x:f>
        <x:v>0</x:v>
      </x:c>
      <x:c r="O397" s="53" t="n">
        <x:f>L397*M397</x:f>
        <x:v>0</x:v>
      </x:c>
      <x:c r="P397" t="str">
        <x:f>IF(OR(B397="CONSUMO",B397="SAÍDA"),IF(ISNUMBER(SEARCH("não seguiu FIFO",I397)),"NÃO CONFORME",IF(ISNUMBER(SEARCH("FIFO automático",I397)),"CONFORME","VERIFICAR")),"")</x:f>
      </x:c>
    </x:row>
    <x:row r="398">
      <x:c r="A398" s="52"/>
      <x:c r="G398" s="53"/>
      <x:c r="K398" s="53" t="n">
        <x:f>IF(B398="ENTRADA",G398,0)</x:f>
        <x:v>0</x:v>
      </x:c>
      <x:c r="L398" s="53" t="n">
        <x:f>IF(OR(B398="CONSUMO",B398="SAÍDA"),G398,0)</x:f>
        <x:v>0</x:v>
      </x:c>
      <x:c r="M398" s="53" t="n">
        <x:f>IF(C398="Farinheira",'Regras e Listas'!$D$4,IF(C398="Colorífico",'Regras e Listas'!$D$5,IF(C398="Farinha para o Flotamil",'Regras e Listas'!$D$6,0)))</x:f>
        <x:v>0</x:v>
      </x:c>
      <x:c r="N398" s="53" t="n">
        <x:f>K398*M398</x:f>
        <x:v>0</x:v>
      </x:c>
      <x:c r="O398" s="53" t="n">
        <x:f>L398*M398</x:f>
        <x:v>0</x:v>
      </x:c>
      <x:c r="P398" t="str">
        <x:f>IF(OR(B398="CONSUMO",B398="SAÍDA"),IF(ISNUMBER(SEARCH("não seguiu FIFO",I398)),"NÃO CONFORME",IF(ISNUMBER(SEARCH("FIFO automático",I398)),"CONFORME","VERIFICAR")),"")</x:f>
      </x:c>
    </x:row>
    <x:row r="399">
      <x:c r="A399" s="52"/>
      <x:c r="G399" s="53"/>
      <x:c r="K399" s="53" t="n">
        <x:f>IF(B399="ENTRADA",G399,0)</x:f>
        <x:v>0</x:v>
      </x:c>
      <x:c r="L399" s="53" t="n">
        <x:f>IF(OR(B399="CONSUMO",B399="SAÍDA"),G399,0)</x:f>
        <x:v>0</x:v>
      </x:c>
      <x:c r="M399" s="53" t="n">
        <x:f>IF(C399="Farinheira",'Regras e Listas'!$D$4,IF(C399="Colorífico",'Regras e Listas'!$D$5,IF(C399="Farinha para o Flotamil",'Regras e Listas'!$D$6,0)))</x:f>
        <x:v>0</x:v>
      </x:c>
      <x:c r="N399" s="53" t="n">
        <x:f>K399*M399</x:f>
        <x:v>0</x:v>
      </x:c>
      <x:c r="O399" s="53" t="n">
        <x:f>L399*M399</x:f>
        <x:v>0</x:v>
      </x:c>
      <x:c r="P399" t="str">
        <x:f>IF(OR(B399="CONSUMO",B399="SAÍDA"),IF(ISNUMBER(SEARCH("não seguiu FIFO",I399)),"NÃO CONFORME",IF(ISNUMBER(SEARCH("FIFO automático",I399)),"CONFORME","VERIFICAR")),"")</x:f>
      </x:c>
    </x:row>
    <x:row r="400">
      <x:c r="A400" s="52"/>
      <x:c r="G400" s="53"/>
      <x:c r="K400" s="53" t="n">
        <x:f>IF(B400="ENTRADA",G400,0)</x:f>
        <x:v>0</x:v>
      </x:c>
      <x:c r="L400" s="53" t="n">
        <x:f>IF(OR(B400="CONSUMO",B400="SAÍDA"),G400,0)</x:f>
        <x:v>0</x:v>
      </x:c>
      <x:c r="M400" s="53" t="n">
        <x:f>IF(C400="Farinheira",'Regras e Listas'!$D$4,IF(C400="Colorífico",'Regras e Listas'!$D$5,IF(C400="Farinha para o Flotamil",'Regras e Listas'!$D$6,0)))</x:f>
        <x:v>0</x:v>
      </x:c>
      <x:c r="N400" s="53" t="n">
        <x:f>K400*M400</x:f>
        <x:v>0</x:v>
      </x:c>
      <x:c r="O400" s="53" t="n">
        <x:f>L400*M400</x:f>
        <x:v>0</x:v>
      </x:c>
      <x:c r="P400" t="str">
        <x:f>IF(OR(B400="CONSUMO",B400="SAÍDA"),IF(ISNUMBER(SEARCH("não seguiu FIFO",I400)),"NÃO CONFORME",IF(ISNUMBER(SEARCH("FIFO automático",I400)),"CONFORME","VERIFICAR")),"")</x:f>
      </x:c>
    </x:row>
    <x:row r="401">
      <x:c r="A401" s="52"/>
      <x:c r="G401" s="53"/>
      <x:c r="K401" s="53" t="n">
        <x:f>IF(B401="ENTRADA",G401,0)</x:f>
        <x:v>0</x:v>
      </x:c>
      <x:c r="L401" s="53" t="n">
        <x:f>IF(OR(B401="CONSUMO",B401="SAÍDA"),G401,0)</x:f>
        <x:v>0</x:v>
      </x:c>
      <x:c r="M401" s="53" t="n">
        <x:f>IF(C401="Farinheira",'Regras e Listas'!$D$4,IF(C401="Colorífico",'Regras e Listas'!$D$5,IF(C401="Farinha para o Flotamil",'Regras e Listas'!$D$6,0)))</x:f>
        <x:v>0</x:v>
      </x:c>
      <x:c r="N401" s="53" t="n">
        <x:f>K401*M401</x:f>
        <x:v>0</x:v>
      </x:c>
      <x:c r="O401" s="53" t="n">
        <x:f>L401*M401</x:f>
        <x:v>0</x:v>
      </x:c>
      <x:c r="P401" t="str">
        <x:f>IF(OR(B401="CONSUMO",B401="SAÍDA"),IF(ISNUMBER(SEARCH("não seguiu FIFO",I401)),"NÃO CONFORME",IF(ISNUMBER(SEARCH("FIFO automático",I401)),"CONFORME","VERIFICAR")),"")</x:f>
      </x:c>
    </x:row>
    <x:row r="402">
      <x:c r="A402" s="52"/>
      <x:c r="G402" s="53"/>
      <x:c r="K402" s="53" t="n">
        <x:f>IF(B402="ENTRADA",G402,0)</x:f>
        <x:v>0</x:v>
      </x:c>
      <x:c r="L402" s="53" t="n">
        <x:f>IF(OR(B402="CONSUMO",B402="SAÍDA"),G402,0)</x:f>
        <x:v>0</x:v>
      </x:c>
      <x:c r="M402" s="53" t="n">
        <x:f>IF(C402="Farinheira",'Regras e Listas'!$D$4,IF(C402="Colorífico",'Regras e Listas'!$D$5,IF(C402="Farinha para o Flotamil",'Regras e Listas'!$D$6,0)))</x:f>
        <x:v>0</x:v>
      </x:c>
      <x:c r="N402" s="53" t="n">
        <x:f>K402*M402</x:f>
        <x:v>0</x:v>
      </x:c>
      <x:c r="O402" s="53" t="n">
        <x:f>L402*M402</x:f>
        <x:v>0</x:v>
      </x:c>
      <x:c r="P402" t="str">
        <x:f>IF(OR(B402="CONSUMO",B402="SAÍDA"),IF(ISNUMBER(SEARCH("não seguiu FIFO",I402)),"NÃO CONFORME",IF(ISNUMBER(SEARCH("FIFO automático",I402)),"CONFORME","VERIFICAR")),"")</x:f>
      </x:c>
    </x:row>
    <x:row r="403">
      <x:c r="A403" s="52"/>
      <x:c r="G403" s="53"/>
      <x:c r="K403" s="53" t="n">
        <x:f>IF(B403="ENTRADA",G403,0)</x:f>
        <x:v>0</x:v>
      </x:c>
      <x:c r="L403" s="53" t="n">
        <x:f>IF(OR(B403="CONSUMO",B403="SAÍDA"),G403,0)</x:f>
        <x:v>0</x:v>
      </x:c>
      <x:c r="M403" s="53" t="n">
        <x:f>IF(C403="Farinheira",'Regras e Listas'!$D$4,IF(C403="Colorífico",'Regras e Listas'!$D$5,IF(C403="Farinha para o Flotamil",'Regras e Listas'!$D$6,0)))</x:f>
        <x:v>0</x:v>
      </x:c>
      <x:c r="N403" s="53" t="n">
        <x:f>K403*M403</x:f>
        <x:v>0</x:v>
      </x:c>
      <x:c r="O403" s="53" t="n">
        <x:f>L403*M403</x:f>
        <x:v>0</x:v>
      </x:c>
      <x:c r="P403" t="str">
        <x:f>IF(OR(B403="CONSUMO",B403="SAÍDA"),IF(ISNUMBER(SEARCH("não seguiu FIFO",I403)),"NÃO CONFORME",IF(ISNUMBER(SEARCH("FIFO automático",I403)),"CONFORME","VERIFICAR")),"")</x:f>
      </x:c>
    </x:row>
    <x:row r="404">
      <x:c r="A404" s="52"/>
      <x:c r="G404" s="53"/>
      <x:c r="K404" s="53" t="n">
        <x:f>IF(B404="ENTRADA",G404,0)</x:f>
        <x:v>0</x:v>
      </x:c>
      <x:c r="L404" s="53" t="n">
        <x:f>IF(OR(B404="CONSUMO",B404="SAÍDA"),G404,0)</x:f>
        <x:v>0</x:v>
      </x:c>
      <x:c r="M404" s="53" t="n">
        <x:f>IF(C404="Farinheira",'Regras e Listas'!$D$4,IF(C404="Colorífico",'Regras e Listas'!$D$5,IF(C404="Farinha para o Flotamil",'Regras e Listas'!$D$6,0)))</x:f>
        <x:v>0</x:v>
      </x:c>
      <x:c r="N404" s="53" t="n">
        <x:f>K404*M404</x:f>
        <x:v>0</x:v>
      </x:c>
      <x:c r="O404" s="53" t="n">
        <x:f>L404*M404</x:f>
        <x:v>0</x:v>
      </x:c>
      <x:c r="P404" t="str">
        <x:f>IF(OR(B404="CONSUMO",B404="SAÍDA"),IF(ISNUMBER(SEARCH("não seguiu FIFO",I404)),"NÃO CONFORME",IF(ISNUMBER(SEARCH("FIFO automático",I404)),"CONFORME","VERIFICAR")),"")</x:f>
      </x:c>
    </x:row>
    <x:row r="405">
      <x:c r="A405" s="52"/>
      <x:c r="G405" s="53"/>
      <x:c r="K405" s="53" t="n">
        <x:f>IF(B405="ENTRADA",G405,0)</x:f>
        <x:v>0</x:v>
      </x:c>
      <x:c r="L405" s="53" t="n">
        <x:f>IF(OR(B405="CONSUMO",B405="SAÍDA"),G405,0)</x:f>
        <x:v>0</x:v>
      </x:c>
      <x:c r="M405" s="53" t="n">
        <x:f>IF(C405="Farinheira",'Regras e Listas'!$D$4,IF(C405="Colorífico",'Regras e Listas'!$D$5,IF(C405="Farinha para o Flotamil",'Regras e Listas'!$D$6,0)))</x:f>
        <x:v>0</x:v>
      </x:c>
      <x:c r="N405" s="53" t="n">
        <x:f>K405*M405</x:f>
        <x:v>0</x:v>
      </x:c>
      <x:c r="O405" s="53" t="n">
        <x:f>L405*M405</x:f>
        <x:v>0</x:v>
      </x:c>
      <x:c r="P405" t="str">
        <x:f>IF(OR(B405="CONSUMO",B405="SAÍDA"),IF(ISNUMBER(SEARCH("não seguiu FIFO",I405)),"NÃO CONFORME",IF(ISNUMBER(SEARCH("FIFO automático",I405)),"CONFORME","VERIFICAR")),"")</x:f>
      </x:c>
    </x:row>
    <x:row r="406">
      <x:c r="A406" s="52"/>
      <x:c r="G406" s="53"/>
      <x:c r="K406" s="53" t="n">
        <x:f>IF(B406="ENTRADA",G406,0)</x:f>
        <x:v>0</x:v>
      </x:c>
      <x:c r="L406" s="53" t="n">
        <x:f>IF(OR(B406="CONSUMO",B406="SAÍDA"),G406,0)</x:f>
        <x:v>0</x:v>
      </x:c>
      <x:c r="M406" s="53" t="n">
        <x:f>IF(C406="Farinheira",'Regras e Listas'!$D$4,IF(C406="Colorífico",'Regras e Listas'!$D$5,IF(C406="Farinha para o Flotamil",'Regras e Listas'!$D$6,0)))</x:f>
        <x:v>0</x:v>
      </x:c>
      <x:c r="N406" s="53" t="n">
        <x:f>K406*M406</x:f>
        <x:v>0</x:v>
      </x:c>
      <x:c r="O406" s="53" t="n">
        <x:f>L406*M406</x:f>
        <x:v>0</x:v>
      </x:c>
      <x:c r="P406" t="str">
        <x:f>IF(OR(B406="CONSUMO",B406="SAÍDA"),IF(ISNUMBER(SEARCH("não seguiu FIFO",I406)),"NÃO CONFORME",IF(ISNUMBER(SEARCH("FIFO automático",I406)),"CONFORME","VERIFICAR")),"")</x:f>
      </x:c>
    </x:row>
    <x:row r="407">
      <x:c r="A407" s="52"/>
      <x:c r="G407" s="53"/>
      <x:c r="K407" s="53" t="n">
        <x:f>IF(B407="ENTRADA",G407,0)</x:f>
        <x:v>0</x:v>
      </x:c>
      <x:c r="L407" s="53" t="n">
        <x:f>IF(OR(B407="CONSUMO",B407="SAÍDA"),G407,0)</x:f>
        <x:v>0</x:v>
      </x:c>
      <x:c r="M407" s="53" t="n">
        <x:f>IF(C407="Farinheira",'Regras e Listas'!$D$4,IF(C407="Colorífico",'Regras e Listas'!$D$5,IF(C407="Farinha para o Flotamil",'Regras e Listas'!$D$6,0)))</x:f>
        <x:v>0</x:v>
      </x:c>
      <x:c r="N407" s="53" t="n">
        <x:f>K407*M407</x:f>
        <x:v>0</x:v>
      </x:c>
      <x:c r="O407" s="53" t="n">
        <x:f>L407*M407</x:f>
        <x:v>0</x:v>
      </x:c>
      <x:c r="P407" t="str">
        <x:f>IF(OR(B407="CONSUMO",B407="SAÍDA"),IF(ISNUMBER(SEARCH("não seguiu FIFO",I407)),"NÃO CONFORME",IF(ISNUMBER(SEARCH("FIFO automático",I407)),"CONFORME","VERIFICAR")),"")</x:f>
      </x:c>
    </x:row>
    <x:row r="408">
      <x:c r="A408" s="52"/>
      <x:c r="G408" s="53"/>
      <x:c r="K408" s="53" t="n">
        <x:f>IF(B408="ENTRADA",G408,0)</x:f>
        <x:v>0</x:v>
      </x:c>
      <x:c r="L408" s="53" t="n">
        <x:f>IF(OR(B408="CONSUMO",B408="SAÍDA"),G408,0)</x:f>
        <x:v>0</x:v>
      </x:c>
      <x:c r="M408" s="53" t="n">
        <x:f>IF(C408="Farinheira",'Regras e Listas'!$D$4,IF(C408="Colorífico",'Regras e Listas'!$D$5,IF(C408="Farinha para o Flotamil",'Regras e Listas'!$D$6,0)))</x:f>
        <x:v>0</x:v>
      </x:c>
      <x:c r="N408" s="53" t="n">
        <x:f>K408*M408</x:f>
        <x:v>0</x:v>
      </x:c>
      <x:c r="O408" s="53" t="n">
        <x:f>L408*M408</x:f>
        <x:v>0</x:v>
      </x:c>
      <x:c r="P408" t="str">
        <x:f>IF(OR(B408="CONSUMO",B408="SAÍDA"),IF(ISNUMBER(SEARCH("não seguiu FIFO",I408)),"NÃO CONFORME",IF(ISNUMBER(SEARCH("FIFO automático",I408)),"CONFORME","VERIFICAR")),"")</x:f>
      </x:c>
    </x:row>
    <x:row r="409">
      <x:c r="A409" s="52"/>
      <x:c r="G409" s="53"/>
      <x:c r="K409" s="53" t="n">
        <x:f>IF(B409="ENTRADA",G409,0)</x:f>
        <x:v>0</x:v>
      </x:c>
      <x:c r="L409" s="53" t="n">
        <x:f>IF(OR(B409="CONSUMO",B409="SAÍDA"),G409,0)</x:f>
        <x:v>0</x:v>
      </x:c>
      <x:c r="M409" s="53" t="n">
        <x:f>IF(C409="Farinheira",'Regras e Listas'!$D$4,IF(C409="Colorífico",'Regras e Listas'!$D$5,IF(C409="Farinha para o Flotamil",'Regras e Listas'!$D$6,0)))</x:f>
        <x:v>0</x:v>
      </x:c>
      <x:c r="N409" s="53" t="n">
        <x:f>K409*M409</x:f>
        <x:v>0</x:v>
      </x:c>
      <x:c r="O409" s="53" t="n">
        <x:f>L409*M409</x:f>
        <x:v>0</x:v>
      </x:c>
      <x:c r="P409" t="str">
        <x:f>IF(OR(B409="CONSUMO",B409="SAÍDA"),IF(ISNUMBER(SEARCH("não seguiu FIFO",I409)),"NÃO CONFORME",IF(ISNUMBER(SEARCH("FIFO automático",I409)),"CONFORME","VERIFICAR")),"")</x:f>
      </x:c>
    </x:row>
    <x:row r="410">
      <x:c r="A410" s="52"/>
      <x:c r="G410" s="53"/>
      <x:c r="K410" s="53" t="n">
        <x:f>IF(B410="ENTRADA",G410,0)</x:f>
        <x:v>0</x:v>
      </x:c>
      <x:c r="L410" s="53" t="n">
        <x:f>IF(OR(B410="CONSUMO",B410="SAÍDA"),G410,0)</x:f>
        <x:v>0</x:v>
      </x:c>
      <x:c r="M410" s="53" t="n">
        <x:f>IF(C410="Farinheira",'Regras e Listas'!$D$4,IF(C410="Colorífico",'Regras e Listas'!$D$5,IF(C410="Farinha para o Flotamil",'Regras e Listas'!$D$6,0)))</x:f>
        <x:v>0</x:v>
      </x:c>
      <x:c r="N410" s="53" t="n">
        <x:f>K410*M410</x:f>
        <x:v>0</x:v>
      </x:c>
      <x:c r="O410" s="53" t="n">
        <x:f>L410*M410</x:f>
        <x:v>0</x:v>
      </x:c>
      <x:c r="P410" t="str">
        <x:f>IF(OR(B410="CONSUMO",B410="SAÍDA"),IF(ISNUMBER(SEARCH("não seguiu FIFO",I410)),"NÃO CONFORME",IF(ISNUMBER(SEARCH("FIFO automático",I410)),"CONFORME","VERIFICAR")),"")</x:f>
      </x:c>
    </x:row>
    <x:row r="411">
      <x:c r="A411" s="52"/>
      <x:c r="G411" s="53"/>
      <x:c r="K411" s="53" t="n">
        <x:f>IF(B411="ENTRADA",G411,0)</x:f>
        <x:v>0</x:v>
      </x:c>
      <x:c r="L411" s="53" t="n">
        <x:f>IF(OR(B411="CONSUMO",B411="SAÍDA"),G411,0)</x:f>
        <x:v>0</x:v>
      </x:c>
      <x:c r="M411" s="53" t="n">
        <x:f>IF(C411="Farinheira",'Regras e Listas'!$D$4,IF(C411="Colorífico",'Regras e Listas'!$D$5,IF(C411="Farinha para o Flotamil",'Regras e Listas'!$D$6,0)))</x:f>
        <x:v>0</x:v>
      </x:c>
      <x:c r="N411" s="53" t="n">
        <x:f>K411*M411</x:f>
        <x:v>0</x:v>
      </x:c>
      <x:c r="O411" s="53" t="n">
        <x:f>L411*M411</x:f>
        <x:v>0</x:v>
      </x:c>
      <x:c r="P411" t="str">
        <x:f>IF(OR(B411="CONSUMO",B411="SAÍDA"),IF(ISNUMBER(SEARCH("não seguiu FIFO",I411)),"NÃO CONFORME",IF(ISNUMBER(SEARCH("FIFO automático",I411)),"CONFORME","VERIFICAR")),"")</x:f>
      </x:c>
    </x:row>
    <x:row r="412">
      <x:c r="A412" s="52"/>
      <x:c r="G412" s="53"/>
      <x:c r="K412" s="53" t="n">
        <x:f>IF(B412="ENTRADA",G412,0)</x:f>
        <x:v>0</x:v>
      </x:c>
      <x:c r="L412" s="53" t="n">
        <x:f>IF(OR(B412="CONSUMO",B412="SAÍDA"),G412,0)</x:f>
        <x:v>0</x:v>
      </x:c>
      <x:c r="M412" s="53" t="n">
        <x:f>IF(C412="Farinheira",'Regras e Listas'!$D$4,IF(C412="Colorífico",'Regras e Listas'!$D$5,IF(C412="Farinha para o Flotamil",'Regras e Listas'!$D$6,0)))</x:f>
        <x:v>0</x:v>
      </x:c>
      <x:c r="N412" s="53" t="n">
        <x:f>K412*M412</x:f>
        <x:v>0</x:v>
      </x:c>
      <x:c r="O412" s="53" t="n">
        <x:f>L412*M412</x:f>
        <x:v>0</x:v>
      </x:c>
      <x:c r="P412" t="str">
        <x:f>IF(OR(B412="CONSUMO",B412="SAÍDA"),IF(ISNUMBER(SEARCH("não seguiu FIFO",I412)),"NÃO CONFORME",IF(ISNUMBER(SEARCH("FIFO automático",I412)),"CONFORME","VERIFICAR")),"")</x:f>
      </x:c>
    </x:row>
    <x:row r="413">
      <x:c r="A413" s="52"/>
      <x:c r="G413" s="53"/>
      <x:c r="K413" s="53" t="n">
        <x:f>IF(B413="ENTRADA",G413,0)</x:f>
        <x:v>0</x:v>
      </x:c>
      <x:c r="L413" s="53" t="n">
        <x:f>IF(OR(B413="CONSUMO",B413="SAÍDA"),G413,0)</x:f>
        <x:v>0</x:v>
      </x:c>
      <x:c r="M413" s="53" t="n">
        <x:f>IF(C413="Farinheira",'Regras e Listas'!$D$4,IF(C413="Colorífico",'Regras e Listas'!$D$5,IF(C413="Farinha para o Flotamil",'Regras e Listas'!$D$6,0)))</x:f>
        <x:v>0</x:v>
      </x:c>
      <x:c r="N413" s="53" t="n">
        <x:f>K413*M413</x:f>
        <x:v>0</x:v>
      </x:c>
      <x:c r="O413" s="53" t="n">
        <x:f>L413*M413</x:f>
        <x:v>0</x:v>
      </x:c>
      <x:c r="P413" t="str">
        <x:f>IF(OR(B413="CONSUMO",B413="SAÍDA"),IF(ISNUMBER(SEARCH("não seguiu FIFO",I413)),"NÃO CONFORME",IF(ISNUMBER(SEARCH("FIFO automático",I413)),"CONFORME","VERIFICAR")),"")</x:f>
      </x:c>
    </x:row>
    <x:row r="414">
      <x:c r="A414" s="52"/>
      <x:c r="G414" s="53"/>
      <x:c r="K414" s="53" t="n">
        <x:f>IF(B414="ENTRADA",G414,0)</x:f>
        <x:v>0</x:v>
      </x:c>
      <x:c r="L414" s="53" t="n">
        <x:f>IF(OR(B414="CONSUMO",B414="SAÍDA"),G414,0)</x:f>
        <x:v>0</x:v>
      </x:c>
      <x:c r="M414" s="53" t="n">
        <x:f>IF(C414="Farinheira",'Regras e Listas'!$D$4,IF(C414="Colorífico",'Regras e Listas'!$D$5,IF(C414="Farinha para o Flotamil",'Regras e Listas'!$D$6,0)))</x:f>
        <x:v>0</x:v>
      </x:c>
      <x:c r="N414" s="53" t="n">
        <x:f>K414*M414</x:f>
        <x:v>0</x:v>
      </x:c>
      <x:c r="O414" s="53" t="n">
        <x:f>L414*M414</x:f>
        <x:v>0</x:v>
      </x:c>
      <x:c r="P414" t="str">
        <x:f>IF(OR(B414="CONSUMO",B414="SAÍDA"),IF(ISNUMBER(SEARCH("não seguiu FIFO",I414)),"NÃO CONFORME",IF(ISNUMBER(SEARCH("FIFO automático",I414)),"CONFORME","VERIFICAR")),"")</x:f>
      </x:c>
    </x:row>
    <x:row r="415">
      <x:c r="A415" s="52"/>
      <x:c r="G415" s="53"/>
      <x:c r="K415" s="53" t="n">
        <x:f>IF(B415="ENTRADA",G415,0)</x:f>
        <x:v>0</x:v>
      </x:c>
      <x:c r="L415" s="53" t="n">
        <x:f>IF(OR(B415="CONSUMO",B415="SAÍDA"),G415,0)</x:f>
        <x:v>0</x:v>
      </x:c>
      <x:c r="M415" s="53" t="n">
        <x:f>IF(C415="Farinheira",'Regras e Listas'!$D$4,IF(C415="Colorífico",'Regras e Listas'!$D$5,IF(C415="Farinha para o Flotamil",'Regras e Listas'!$D$6,0)))</x:f>
        <x:v>0</x:v>
      </x:c>
      <x:c r="N415" s="53" t="n">
        <x:f>K415*M415</x:f>
        <x:v>0</x:v>
      </x:c>
      <x:c r="O415" s="53" t="n">
        <x:f>L415*M415</x:f>
        <x:v>0</x:v>
      </x:c>
      <x:c r="P415" t="str">
        <x:f>IF(OR(B415="CONSUMO",B415="SAÍDA"),IF(ISNUMBER(SEARCH("não seguiu FIFO",I415)),"NÃO CONFORME",IF(ISNUMBER(SEARCH("FIFO automático",I415)),"CONFORME","VERIFICAR")),"")</x:f>
      </x:c>
    </x:row>
    <x:row r="416">
      <x:c r="A416" s="52"/>
      <x:c r="G416" s="53"/>
      <x:c r="K416" s="53" t="n">
        <x:f>IF(B416="ENTRADA",G416,0)</x:f>
        <x:v>0</x:v>
      </x:c>
      <x:c r="L416" s="53" t="n">
        <x:f>IF(OR(B416="CONSUMO",B416="SAÍDA"),G416,0)</x:f>
        <x:v>0</x:v>
      </x:c>
      <x:c r="M416" s="53" t="n">
        <x:f>IF(C416="Farinheira",'Regras e Listas'!$D$4,IF(C416="Colorífico",'Regras e Listas'!$D$5,IF(C416="Farinha para o Flotamil",'Regras e Listas'!$D$6,0)))</x:f>
        <x:v>0</x:v>
      </x:c>
      <x:c r="N416" s="53" t="n">
        <x:f>K416*M416</x:f>
        <x:v>0</x:v>
      </x:c>
      <x:c r="O416" s="53" t="n">
        <x:f>L416*M416</x:f>
        <x:v>0</x:v>
      </x:c>
      <x:c r="P416" t="str">
        <x:f>IF(OR(B416="CONSUMO",B416="SAÍDA"),IF(ISNUMBER(SEARCH("não seguiu FIFO",I416)),"NÃO CONFORME",IF(ISNUMBER(SEARCH("FIFO automático",I416)),"CONFORME","VERIFICAR")),"")</x:f>
      </x:c>
    </x:row>
    <x:row r="417">
      <x:c r="A417" s="52"/>
      <x:c r="G417" s="53"/>
      <x:c r="K417" s="53" t="n">
        <x:f>IF(B417="ENTRADA",G417,0)</x:f>
        <x:v>0</x:v>
      </x:c>
      <x:c r="L417" s="53" t="n">
        <x:f>IF(OR(B417="CONSUMO",B417="SAÍDA"),G417,0)</x:f>
        <x:v>0</x:v>
      </x:c>
      <x:c r="M417" s="53" t="n">
        <x:f>IF(C417="Farinheira",'Regras e Listas'!$D$4,IF(C417="Colorífico",'Regras e Listas'!$D$5,IF(C417="Farinha para o Flotamil",'Regras e Listas'!$D$6,0)))</x:f>
        <x:v>0</x:v>
      </x:c>
      <x:c r="N417" s="53" t="n">
        <x:f>K417*M417</x:f>
        <x:v>0</x:v>
      </x:c>
      <x:c r="O417" s="53" t="n">
        <x:f>L417*M417</x:f>
        <x:v>0</x:v>
      </x:c>
      <x:c r="P417" t="str">
        <x:f>IF(OR(B417="CONSUMO",B417="SAÍDA"),IF(ISNUMBER(SEARCH("não seguiu FIFO",I417)),"NÃO CONFORME",IF(ISNUMBER(SEARCH("FIFO automático",I417)),"CONFORME","VERIFICAR")),"")</x:f>
      </x:c>
    </x:row>
    <x:row r="418">
      <x:c r="A418" s="52"/>
      <x:c r="G418" s="53"/>
      <x:c r="K418" s="53" t="n">
        <x:f>IF(B418="ENTRADA",G418,0)</x:f>
        <x:v>0</x:v>
      </x:c>
      <x:c r="L418" s="53" t="n">
        <x:f>IF(OR(B418="CONSUMO",B418="SAÍDA"),G418,0)</x:f>
        <x:v>0</x:v>
      </x:c>
      <x:c r="M418" s="53" t="n">
        <x:f>IF(C418="Farinheira",'Regras e Listas'!$D$4,IF(C418="Colorífico",'Regras e Listas'!$D$5,IF(C418="Farinha para o Flotamil",'Regras e Listas'!$D$6,0)))</x:f>
        <x:v>0</x:v>
      </x:c>
      <x:c r="N418" s="53" t="n">
        <x:f>K418*M418</x:f>
        <x:v>0</x:v>
      </x:c>
      <x:c r="O418" s="53" t="n">
        <x:f>L418*M418</x:f>
        <x:v>0</x:v>
      </x:c>
      <x:c r="P418" t="str">
        <x:f>IF(OR(B418="CONSUMO",B418="SAÍDA"),IF(ISNUMBER(SEARCH("não seguiu FIFO",I418)),"NÃO CONFORME",IF(ISNUMBER(SEARCH("FIFO automático",I418)),"CONFORME","VERIFICAR")),"")</x:f>
      </x:c>
    </x:row>
    <x:row r="419">
      <x:c r="A419" s="52"/>
      <x:c r="G419" s="53"/>
      <x:c r="K419" s="53" t="n">
        <x:f>IF(B419="ENTRADA",G419,0)</x:f>
        <x:v>0</x:v>
      </x:c>
      <x:c r="L419" s="53" t="n">
        <x:f>IF(OR(B419="CONSUMO",B419="SAÍDA"),G419,0)</x:f>
        <x:v>0</x:v>
      </x:c>
      <x:c r="M419" s="53" t="n">
        <x:f>IF(C419="Farinheira",'Regras e Listas'!$D$4,IF(C419="Colorífico",'Regras e Listas'!$D$5,IF(C419="Farinha para o Flotamil",'Regras e Listas'!$D$6,0)))</x:f>
        <x:v>0</x:v>
      </x:c>
      <x:c r="N419" s="53" t="n">
        <x:f>K419*M419</x:f>
        <x:v>0</x:v>
      </x:c>
      <x:c r="O419" s="53" t="n">
        <x:f>L419*M419</x:f>
        <x:v>0</x:v>
      </x:c>
      <x:c r="P419" t="str">
        <x:f>IF(OR(B419="CONSUMO",B419="SAÍDA"),IF(ISNUMBER(SEARCH("não seguiu FIFO",I419)),"NÃO CONFORME",IF(ISNUMBER(SEARCH("FIFO automático",I419)),"CONFORME","VERIFICAR")),"")</x:f>
      </x:c>
    </x:row>
    <x:row r="420">
      <x:c r="A420" s="52"/>
      <x:c r="G420" s="53"/>
      <x:c r="K420" s="53" t="n">
        <x:f>IF(B420="ENTRADA",G420,0)</x:f>
        <x:v>0</x:v>
      </x:c>
      <x:c r="L420" s="53" t="n">
        <x:f>IF(OR(B420="CONSUMO",B420="SAÍDA"),G420,0)</x:f>
        <x:v>0</x:v>
      </x:c>
      <x:c r="M420" s="53" t="n">
        <x:f>IF(C420="Farinheira",'Regras e Listas'!$D$4,IF(C420="Colorífico",'Regras e Listas'!$D$5,IF(C420="Farinha para o Flotamil",'Regras e Listas'!$D$6,0)))</x:f>
        <x:v>0</x:v>
      </x:c>
      <x:c r="N420" s="53" t="n">
        <x:f>K420*M420</x:f>
        <x:v>0</x:v>
      </x:c>
      <x:c r="O420" s="53" t="n">
        <x:f>L420*M420</x:f>
        <x:v>0</x:v>
      </x:c>
      <x:c r="P420" t="str">
        <x:f>IF(OR(B420="CONSUMO",B420="SAÍDA"),IF(ISNUMBER(SEARCH("não seguiu FIFO",I420)),"NÃO CONFORME",IF(ISNUMBER(SEARCH("FIFO automático",I420)),"CONFORME","VERIFICAR")),"")</x:f>
      </x:c>
    </x:row>
    <x:row r="421">
      <x:c r="A421" s="52"/>
      <x:c r="G421" s="53"/>
      <x:c r="K421" s="53" t="n">
        <x:f>IF(B421="ENTRADA",G421,0)</x:f>
        <x:v>0</x:v>
      </x:c>
      <x:c r="L421" s="53" t="n">
        <x:f>IF(OR(B421="CONSUMO",B421="SAÍDA"),G421,0)</x:f>
        <x:v>0</x:v>
      </x:c>
      <x:c r="M421" s="53" t="n">
        <x:f>IF(C421="Farinheira",'Regras e Listas'!$D$4,IF(C421="Colorífico",'Regras e Listas'!$D$5,IF(C421="Farinha para o Flotamil",'Regras e Listas'!$D$6,0)))</x:f>
        <x:v>0</x:v>
      </x:c>
      <x:c r="N421" s="53" t="n">
        <x:f>K421*M421</x:f>
        <x:v>0</x:v>
      </x:c>
      <x:c r="O421" s="53" t="n">
        <x:f>L421*M421</x:f>
        <x:v>0</x:v>
      </x:c>
      <x:c r="P421" t="str">
        <x:f>IF(OR(B421="CONSUMO",B421="SAÍDA"),IF(ISNUMBER(SEARCH("não seguiu FIFO",I421)),"NÃO CONFORME",IF(ISNUMBER(SEARCH("FIFO automático",I421)),"CONFORME","VERIFICAR")),"")</x:f>
      </x:c>
    </x:row>
    <x:row r="422">
      <x:c r="A422" s="52"/>
      <x:c r="G422" s="53"/>
      <x:c r="K422" s="53" t="n">
        <x:f>IF(B422="ENTRADA",G422,0)</x:f>
        <x:v>0</x:v>
      </x:c>
      <x:c r="L422" s="53" t="n">
        <x:f>IF(OR(B422="CONSUMO",B422="SAÍDA"),G422,0)</x:f>
        <x:v>0</x:v>
      </x:c>
      <x:c r="M422" s="53" t="n">
        <x:f>IF(C422="Farinheira",'Regras e Listas'!$D$4,IF(C422="Colorífico",'Regras e Listas'!$D$5,IF(C422="Farinha para o Flotamil",'Regras e Listas'!$D$6,0)))</x:f>
        <x:v>0</x:v>
      </x:c>
      <x:c r="N422" s="53" t="n">
        <x:f>K422*M422</x:f>
        <x:v>0</x:v>
      </x:c>
      <x:c r="O422" s="53" t="n">
        <x:f>L422*M422</x:f>
        <x:v>0</x:v>
      </x:c>
      <x:c r="P422" t="str">
        <x:f>IF(OR(B422="CONSUMO",B422="SAÍDA"),IF(ISNUMBER(SEARCH("não seguiu FIFO",I422)),"NÃO CONFORME",IF(ISNUMBER(SEARCH("FIFO automático",I422)),"CONFORME","VERIFICAR")),"")</x:f>
      </x:c>
    </x:row>
    <x:row r="423">
      <x:c r="A423" s="52"/>
      <x:c r="G423" s="53"/>
      <x:c r="K423" s="53" t="n">
        <x:f>IF(B423="ENTRADA",G423,0)</x:f>
        <x:v>0</x:v>
      </x:c>
      <x:c r="L423" s="53" t="n">
        <x:f>IF(OR(B423="CONSUMO",B423="SAÍDA"),G423,0)</x:f>
        <x:v>0</x:v>
      </x:c>
      <x:c r="M423" s="53" t="n">
        <x:f>IF(C423="Farinheira",'Regras e Listas'!$D$4,IF(C423="Colorífico",'Regras e Listas'!$D$5,IF(C423="Farinha para o Flotamil",'Regras e Listas'!$D$6,0)))</x:f>
        <x:v>0</x:v>
      </x:c>
      <x:c r="N423" s="53" t="n">
        <x:f>K423*M423</x:f>
        <x:v>0</x:v>
      </x:c>
      <x:c r="O423" s="53" t="n">
        <x:f>L423*M423</x:f>
        <x:v>0</x:v>
      </x:c>
      <x:c r="P423" t="str">
        <x:f>IF(OR(B423="CONSUMO",B423="SAÍDA"),IF(ISNUMBER(SEARCH("não seguiu FIFO",I423)),"NÃO CONFORME",IF(ISNUMBER(SEARCH("FIFO automático",I423)),"CONFORME","VERIFICAR")),"")</x:f>
      </x:c>
    </x:row>
    <x:row r="424">
      <x:c r="A424" s="52"/>
      <x:c r="G424" s="53"/>
      <x:c r="K424" s="53" t="n">
        <x:f>IF(B424="ENTRADA",G424,0)</x:f>
        <x:v>0</x:v>
      </x:c>
      <x:c r="L424" s="53" t="n">
        <x:f>IF(OR(B424="CONSUMO",B424="SAÍDA"),G424,0)</x:f>
        <x:v>0</x:v>
      </x:c>
      <x:c r="M424" s="53" t="n">
        <x:f>IF(C424="Farinheira",'Regras e Listas'!$D$4,IF(C424="Colorífico",'Regras e Listas'!$D$5,IF(C424="Farinha para o Flotamil",'Regras e Listas'!$D$6,0)))</x:f>
        <x:v>0</x:v>
      </x:c>
      <x:c r="N424" s="53" t="n">
        <x:f>K424*M424</x:f>
        <x:v>0</x:v>
      </x:c>
      <x:c r="O424" s="53" t="n">
        <x:f>L424*M424</x:f>
        <x:v>0</x:v>
      </x:c>
      <x:c r="P424" t="str">
        <x:f>IF(OR(B424="CONSUMO",B424="SAÍDA"),IF(ISNUMBER(SEARCH("não seguiu FIFO",I424)),"NÃO CONFORME",IF(ISNUMBER(SEARCH("FIFO automático",I424)),"CONFORME","VERIFICAR")),"")</x:f>
      </x:c>
    </x:row>
    <x:row r="425">
      <x:c r="A425" s="52"/>
      <x:c r="G425" s="53"/>
      <x:c r="K425" s="53" t="n">
        <x:f>IF(B425="ENTRADA",G425,0)</x:f>
        <x:v>0</x:v>
      </x:c>
      <x:c r="L425" s="53" t="n">
        <x:f>IF(OR(B425="CONSUMO",B425="SAÍDA"),G425,0)</x:f>
        <x:v>0</x:v>
      </x:c>
      <x:c r="M425" s="53" t="n">
        <x:f>IF(C425="Farinheira",'Regras e Listas'!$D$4,IF(C425="Colorífico",'Regras e Listas'!$D$5,IF(C425="Farinha para o Flotamil",'Regras e Listas'!$D$6,0)))</x:f>
        <x:v>0</x:v>
      </x:c>
      <x:c r="N425" s="53" t="n">
        <x:f>K425*M425</x:f>
        <x:v>0</x:v>
      </x:c>
      <x:c r="O425" s="53" t="n">
        <x:f>L425*M425</x:f>
        <x:v>0</x:v>
      </x:c>
      <x:c r="P425" t="str">
        <x:f>IF(OR(B425="CONSUMO",B425="SAÍDA"),IF(ISNUMBER(SEARCH("não seguiu FIFO",I425)),"NÃO CONFORME",IF(ISNUMBER(SEARCH("FIFO automático",I425)),"CONFORME","VERIFICAR")),"")</x:f>
      </x:c>
    </x:row>
    <x:row r="426">
      <x:c r="A426" s="52"/>
      <x:c r="G426" s="53"/>
      <x:c r="K426" s="53" t="n">
        <x:f>IF(B426="ENTRADA",G426,0)</x:f>
        <x:v>0</x:v>
      </x:c>
      <x:c r="L426" s="53" t="n">
        <x:f>IF(OR(B426="CONSUMO",B426="SAÍDA"),G426,0)</x:f>
        <x:v>0</x:v>
      </x:c>
      <x:c r="M426" s="53" t="n">
        <x:f>IF(C426="Farinheira",'Regras e Listas'!$D$4,IF(C426="Colorífico",'Regras e Listas'!$D$5,IF(C426="Farinha para o Flotamil",'Regras e Listas'!$D$6,0)))</x:f>
        <x:v>0</x:v>
      </x:c>
      <x:c r="N426" s="53" t="n">
        <x:f>K426*M426</x:f>
        <x:v>0</x:v>
      </x:c>
      <x:c r="O426" s="53" t="n">
        <x:f>L426*M426</x:f>
        <x:v>0</x:v>
      </x:c>
      <x:c r="P426" t="str">
        <x:f>IF(OR(B426="CONSUMO",B426="SAÍDA"),IF(ISNUMBER(SEARCH("não seguiu FIFO",I426)),"NÃO CONFORME",IF(ISNUMBER(SEARCH("FIFO automático",I426)),"CONFORME","VERIFICAR")),"")</x:f>
      </x:c>
    </x:row>
    <x:row r="427">
      <x:c r="A427" s="52"/>
      <x:c r="G427" s="53"/>
      <x:c r="K427" s="53" t="n">
        <x:f>IF(B427="ENTRADA",G427,0)</x:f>
        <x:v>0</x:v>
      </x:c>
      <x:c r="L427" s="53" t="n">
        <x:f>IF(OR(B427="CONSUMO",B427="SAÍDA"),G427,0)</x:f>
        <x:v>0</x:v>
      </x:c>
      <x:c r="M427" s="53" t="n">
        <x:f>IF(C427="Farinheira",'Regras e Listas'!$D$4,IF(C427="Colorífico",'Regras e Listas'!$D$5,IF(C427="Farinha para o Flotamil",'Regras e Listas'!$D$6,0)))</x:f>
        <x:v>0</x:v>
      </x:c>
      <x:c r="N427" s="53" t="n">
        <x:f>K427*M427</x:f>
        <x:v>0</x:v>
      </x:c>
      <x:c r="O427" s="53" t="n">
        <x:f>L427*M427</x:f>
        <x:v>0</x:v>
      </x:c>
      <x:c r="P427" t="str">
        <x:f>IF(OR(B427="CONSUMO",B427="SAÍDA"),IF(ISNUMBER(SEARCH("não seguiu FIFO",I427)),"NÃO CONFORME",IF(ISNUMBER(SEARCH("FIFO automático",I427)),"CONFORME","VERIFICAR")),"")</x:f>
      </x:c>
    </x:row>
    <x:row r="428">
      <x:c r="A428" s="52"/>
      <x:c r="G428" s="53"/>
      <x:c r="K428" s="53" t="n">
        <x:f>IF(B428="ENTRADA",G428,0)</x:f>
        <x:v>0</x:v>
      </x:c>
      <x:c r="L428" s="53" t="n">
        <x:f>IF(OR(B428="CONSUMO",B428="SAÍDA"),G428,0)</x:f>
        <x:v>0</x:v>
      </x:c>
      <x:c r="M428" s="53" t="n">
        <x:f>IF(C428="Farinheira",'Regras e Listas'!$D$4,IF(C428="Colorífico",'Regras e Listas'!$D$5,IF(C428="Farinha para o Flotamil",'Regras e Listas'!$D$6,0)))</x:f>
        <x:v>0</x:v>
      </x:c>
      <x:c r="N428" s="53" t="n">
        <x:f>K428*M428</x:f>
        <x:v>0</x:v>
      </x:c>
      <x:c r="O428" s="53" t="n">
        <x:f>L428*M428</x:f>
        <x:v>0</x:v>
      </x:c>
      <x:c r="P428" t="str">
        <x:f>IF(OR(B428="CONSUMO",B428="SAÍDA"),IF(ISNUMBER(SEARCH("não seguiu FIFO",I428)),"NÃO CONFORME",IF(ISNUMBER(SEARCH("FIFO automático",I428)),"CONFORME","VERIFICAR")),"")</x:f>
      </x:c>
    </x:row>
    <x:row r="429">
      <x:c r="A429" s="52"/>
      <x:c r="G429" s="53"/>
      <x:c r="K429" s="53" t="n">
        <x:f>IF(B429="ENTRADA",G429,0)</x:f>
        <x:v>0</x:v>
      </x:c>
      <x:c r="L429" s="53" t="n">
        <x:f>IF(OR(B429="CONSUMO",B429="SAÍDA"),G429,0)</x:f>
        <x:v>0</x:v>
      </x:c>
      <x:c r="M429" s="53" t="n">
        <x:f>IF(C429="Farinheira",'Regras e Listas'!$D$4,IF(C429="Colorífico",'Regras e Listas'!$D$5,IF(C429="Farinha para o Flotamil",'Regras e Listas'!$D$6,0)))</x:f>
        <x:v>0</x:v>
      </x:c>
      <x:c r="N429" s="53" t="n">
        <x:f>K429*M429</x:f>
        <x:v>0</x:v>
      </x:c>
      <x:c r="O429" s="53" t="n">
        <x:f>L429*M429</x:f>
        <x:v>0</x:v>
      </x:c>
      <x:c r="P429" t="str">
        <x:f>IF(OR(B429="CONSUMO",B429="SAÍDA"),IF(ISNUMBER(SEARCH("não seguiu FIFO",I429)),"NÃO CONFORME",IF(ISNUMBER(SEARCH("FIFO automático",I429)),"CONFORME","VERIFICAR")),"")</x:f>
      </x:c>
    </x:row>
    <x:row r="430">
      <x:c r="A430" s="52"/>
      <x:c r="G430" s="53"/>
      <x:c r="K430" s="53" t="n">
        <x:f>IF(B430="ENTRADA",G430,0)</x:f>
        <x:v>0</x:v>
      </x:c>
      <x:c r="L430" s="53" t="n">
        <x:f>IF(OR(B430="CONSUMO",B430="SAÍDA"),G430,0)</x:f>
        <x:v>0</x:v>
      </x:c>
      <x:c r="M430" s="53" t="n">
        <x:f>IF(C430="Farinheira",'Regras e Listas'!$D$4,IF(C430="Colorífico",'Regras e Listas'!$D$5,IF(C430="Farinha para o Flotamil",'Regras e Listas'!$D$6,0)))</x:f>
        <x:v>0</x:v>
      </x:c>
      <x:c r="N430" s="53" t="n">
        <x:f>K430*M430</x:f>
        <x:v>0</x:v>
      </x:c>
      <x:c r="O430" s="53" t="n">
        <x:f>L430*M430</x:f>
        <x:v>0</x:v>
      </x:c>
      <x:c r="P430" t="str">
        <x:f>IF(OR(B430="CONSUMO",B430="SAÍDA"),IF(ISNUMBER(SEARCH("não seguiu FIFO",I430)),"NÃO CONFORME",IF(ISNUMBER(SEARCH("FIFO automático",I430)),"CONFORME","VERIFICAR")),"")</x:f>
      </x:c>
    </x:row>
    <x:row r="431">
      <x:c r="A431" s="52"/>
      <x:c r="G431" s="53"/>
      <x:c r="K431" s="53" t="n">
        <x:f>IF(B431="ENTRADA",G431,0)</x:f>
        <x:v>0</x:v>
      </x:c>
      <x:c r="L431" s="53" t="n">
        <x:f>IF(OR(B431="CONSUMO",B431="SAÍDA"),G431,0)</x:f>
        <x:v>0</x:v>
      </x:c>
      <x:c r="M431" s="53" t="n">
        <x:f>IF(C431="Farinheira",'Regras e Listas'!$D$4,IF(C431="Colorífico",'Regras e Listas'!$D$5,IF(C431="Farinha para o Flotamil",'Regras e Listas'!$D$6,0)))</x:f>
        <x:v>0</x:v>
      </x:c>
      <x:c r="N431" s="53" t="n">
        <x:f>K431*M431</x:f>
        <x:v>0</x:v>
      </x:c>
      <x:c r="O431" s="53" t="n">
        <x:f>L431*M431</x:f>
        <x:v>0</x:v>
      </x:c>
      <x:c r="P431" t="str">
        <x:f>IF(OR(B431="CONSUMO",B431="SAÍDA"),IF(ISNUMBER(SEARCH("não seguiu FIFO",I431)),"NÃO CONFORME",IF(ISNUMBER(SEARCH("FIFO automático",I431)),"CONFORME","VERIFICAR")),"")</x:f>
      </x:c>
    </x:row>
    <x:row r="432">
      <x:c r="A432" s="52"/>
      <x:c r="G432" s="53"/>
      <x:c r="K432" s="53" t="n">
        <x:f>IF(B432="ENTRADA",G432,0)</x:f>
        <x:v>0</x:v>
      </x:c>
      <x:c r="L432" s="53" t="n">
        <x:f>IF(OR(B432="CONSUMO",B432="SAÍDA"),G432,0)</x:f>
        <x:v>0</x:v>
      </x:c>
      <x:c r="M432" s="53" t="n">
        <x:f>IF(C432="Farinheira",'Regras e Listas'!$D$4,IF(C432="Colorífico",'Regras e Listas'!$D$5,IF(C432="Farinha para o Flotamil",'Regras e Listas'!$D$6,0)))</x:f>
        <x:v>0</x:v>
      </x:c>
      <x:c r="N432" s="53" t="n">
        <x:f>K432*M432</x:f>
        <x:v>0</x:v>
      </x:c>
      <x:c r="O432" s="53" t="n">
        <x:f>L432*M432</x:f>
        <x:v>0</x:v>
      </x:c>
      <x:c r="P432" t="str">
        <x:f>IF(OR(B432="CONSUMO",B432="SAÍDA"),IF(ISNUMBER(SEARCH("não seguiu FIFO",I432)),"NÃO CONFORME",IF(ISNUMBER(SEARCH("FIFO automático",I432)),"CONFORME","VERIFICAR")),"")</x:f>
      </x:c>
    </x:row>
    <x:row r="433">
      <x:c r="A433" s="52"/>
      <x:c r="G433" s="53"/>
      <x:c r="K433" s="53" t="n">
        <x:f>IF(B433="ENTRADA",G433,0)</x:f>
        <x:v>0</x:v>
      </x:c>
      <x:c r="L433" s="53" t="n">
        <x:f>IF(OR(B433="CONSUMO",B433="SAÍDA"),G433,0)</x:f>
        <x:v>0</x:v>
      </x:c>
      <x:c r="M433" s="53" t="n">
        <x:f>IF(C433="Farinheira",'Regras e Listas'!$D$4,IF(C433="Colorífico",'Regras e Listas'!$D$5,IF(C433="Farinha para o Flotamil",'Regras e Listas'!$D$6,0)))</x:f>
        <x:v>0</x:v>
      </x:c>
      <x:c r="N433" s="53" t="n">
        <x:f>K433*M433</x:f>
        <x:v>0</x:v>
      </x:c>
      <x:c r="O433" s="53" t="n">
        <x:f>L433*M433</x:f>
        <x:v>0</x:v>
      </x:c>
      <x:c r="P433" t="str">
        <x:f>IF(OR(B433="CONSUMO",B433="SAÍDA"),IF(ISNUMBER(SEARCH("não seguiu FIFO",I433)),"NÃO CONFORME",IF(ISNUMBER(SEARCH("FIFO automático",I433)),"CONFORME","VERIFICAR")),"")</x:f>
      </x:c>
    </x:row>
    <x:row r="434">
      <x:c r="A434" s="52"/>
      <x:c r="G434" s="53"/>
      <x:c r="K434" s="53" t="n">
        <x:f>IF(B434="ENTRADA",G434,0)</x:f>
        <x:v>0</x:v>
      </x:c>
      <x:c r="L434" s="53" t="n">
        <x:f>IF(OR(B434="CONSUMO",B434="SAÍDA"),G434,0)</x:f>
        <x:v>0</x:v>
      </x:c>
      <x:c r="M434" s="53" t="n">
        <x:f>IF(C434="Farinheira",'Regras e Listas'!$D$4,IF(C434="Colorífico",'Regras e Listas'!$D$5,IF(C434="Farinha para o Flotamil",'Regras e Listas'!$D$6,0)))</x:f>
        <x:v>0</x:v>
      </x:c>
      <x:c r="N434" s="53" t="n">
        <x:f>K434*M434</x:f>
        <x:v>0</x:v>
      </x:c>
      <x:c r="O434" s="53" t="n">
        <x:f>L434*M434</x:f>
        <x:v>0</x:v>
      </x:c>
      <x:c r="P434" t="str">
        <x:f>IF(OR(B434="CONSUMO",B434="SAÍDA"),IF(ISNUMBER(SEARCH("não seguiu FIFO",I434)),"NÃO CONFORME",IF(ISNUMBER(SEARCH("FIFO automático",I434)),"CONFORME","VERIFICAR")),"")</x:f>
      </x:c>
    </x:row>
    <x:row r="435">
      <x:c r="A435" s="52"/>
      <x:c r="G435" s="53"/>
      <x:c r="K435" s="53" t="n">
        <x:f>IF(B435="ENTRADA",G435,0)</x:f>
        <x:v>0</x:v>
      </x:c>
      <x:c r="L435" s="53" t="n">
        <x:f>IF(OR(B435="CONSUMO",B435="SAÍDA"),G435,0)</x:f>
        <x:v>0</x:v>
      </x:c>
      <x:c r="M435" s="53" t="n">
        <x:f>IF(C435="Farinheira",'Regras e Listas'!$D$4,IF(C435="Colorífico",'Regras e Listas'!$D$5,IF(C435="Farinha para o Flotamil",'Regras e Listas'!$D$6,0)))</x:f>
        <x:v>0</x:v>
      </x:c>
      <x:c r="N435" s="53" t="n">
        <x:f>K435*M435</x:f>
        <x:v>0</x:v>
      </x:c>
      <x:c r="O435" s="53" t="n">
        <x:f>L435*M435</x:f>
        <x:v>0</x:v>
      </x:c>
      <x:c r="P435" t="str">
        <x:f>IF(OR(B435="CONSUMO",B435="SAÍDA"),IF(ISNUMBER(SEARCH("não seguiu FIFO",I435)),"NÃO CONFORME",IF(ISNUMBER(SEARCH("FIFO automático",I435)),"CONFORME","VERIFICAR")),"")</x:f>
      </x:c>
    </x:row>
    <x:row r="436">
      <x:c r="A436" s="52"/>
      <x:c r="G436" s="53"/>
      <x:c r="K436" s="53" t="n">
        <x:f>IF(B436="ENTRADA",G436,0)</x:f>
        <x:v>0</x:v>
      </x:c>
      <x:c r="L436" s="53" t="n">
        <x:f>IF(OR(B436="CONSUMO",B436="SAÍDA"),G436,0)</x:f>
        <x:v>0</x:v>
      </x:c>
      <x:c r="M436" s="53" t="n">
        <x:f>IF(C436="Farinheira",'Regras e Listas'!$D$4,IF(C436="Colorífico",'Regras e Listas'!$D$5,IF(C436="Farinha para o Flotamil",'Regras e Listas'!$D$6,0)))</x:f>
        <x:v>0</x:v>
      </x:c>
      <x:c r="N436" s="53" t="n">
        <x:f>K436*M436</x:f>
        <x:v>0</x:v>
      </x:c>
      <x:c r="O436" s="53" t="n">
        <x:f>L436*M436</x:f>
        <x:v>0</x:v>
      </x:c>
      <x:c r="P436" t="str">
        <x:f>IF(OR(B436="CONSUMO",B436="SAÍDA"),IF(ISNUMBER(SEARCH("não seguiu FIFO",I436)),"NÃO CONFORME",IF(ISNUMBER(SEARCH("FIFO automático",I436)),"CONFORME","VERIFICAR")),"")</x:f>
      </x:c>
    </x:row>
    <x:row r="437">
      <x:c r="A437" s="52"/>
      <x:c r="G437" s="53"/>
      <x:c r="K437" s="53" t="n">
        <x:f>IF(B437="ENTRADA",G437,0)</x:f>
        <x:v>0</x:v>
      </x:c>
      <x:c r="L437" s="53" t="n">
        <x:f>IF(OR(B437="CONSUMO",B437="SAÍDA"),G437,0)</x:f>
        <x:v>0</x:v>
      </x:c>
      <x:c r="M437" s="53" t="n">
        <x:f>IF(C437="Farinheira",'Regras e Listas'!$D$4,IF(C437="Colorífico",'Regras e Listas'!$D$5,IF(C437="Farinha para o Flotamil",'Regras e Listas'!$D$6,0)))</x:f>
        <x:v>0</x:v>
      </x:c>
      <x:c r="N437" s="53" t="n">
        <x:f>K437*M437</x:f>
        <x:v>0</x:v>
      </x:c>
      <x:c r="O437" s="53" t="n">
        <x:f>L437*M437</x:f>
        <x:v>0</x:v>
      </x:c>
      <x:c r="P437" t="str">
        <x:f>IF(OR(B437="CONSUMO",B437="SAÍDA"),IF(ISNUMBER(SEARCH("não seguiu FIFO",I437)),"NÃO CONFORME",IF(ISNUMBER(SEARCH("FIFO automático",I437)),"CONFORME","VERIFICAR")),"")</x:f>
      </x:c>
    </x:row>
    <x:row r="438">
      <x:c r="A438" s="52"/>
      <x:c r="G438" s="53"/>
      <x:c r="K438" s="53" t="n">
        <x:f>IF(B438="ENTRADA",G438,0)</x:f>
        <x:v>0</x:v>
      </x:c>
      <x:c r="L438" s="53" t="n">
        <x:f>IF(OR(B438="CONSUMO",B438="SAÍDA"),G438,0)</x:f>
        <x:v>0</x:v>
      </x:c>
      <x:c r="M438" s="53" t="n">
        <x:f>IF(C438="Farinheira",'Regras e Listas'!$D$4,IF(C438="Colorífico",'Regras e Listas'!$D$5,IF(C438="Farinha para o Flotamil",'Regras e Listas'!$D$6,0)))</x:f>
        <x:v>0</x:v>
      </x:c>
      <x:c r="N438" s="53" t="n">
        <x:f>K438*M438</x:f>
        <x:v>0</x:v>
      </x:c>
      <x:c r="O438" s="53" t="n">
        <x:f>L438*M438</x:f>
        <x:v>0</x:v>
      </x:c>
      <x:c r="P438" t="str">
        <x:f>IF(OR(B438="CONSUMO",B438="SAÍDA"),IF(ISNUMBER(SEARCH("não seguiu FIFO",I438)),"NÃO CONFORME",IF(ISNUMBER(SEARCH("FIFO automático",I438)),"CONFORME","VERIFICAR")),"")</x:f>
      </x:c>
    </x:row>
    <x:row r="439">
      <x:c r="A439" s="52"/>
      <x:c r="G439" s="53"/>
      <x:c r="K439" s="53" t="n">
        <x:f>IF(B439="ENTRADA",G439,0)</x:f>
        <x:v>0</x:v>
      </x:c>
      <x:c r="L439" s="53" t="n">
        <x:f>IF(OR(B439="CONSUMO",B439="SAÍDA"),G439,0)</x:f>
        <x:v>0</x:v>
      </x:c>
      <x:c r="M439" s="53" t="n">
        <x:f>IF(C439="Farinheira",'Regras e Listas'!$D$4,IF(C439="Colorífico",'Regras e Listas'!$D$5,IF(C439="Farinha para o Flotamil",'Regras e Listas'!$D$6,0)))</x:f>
        <x:v>0</x:v>
      </x:c>
      <x:c r="N439" s="53" t="n">
        <x:f>K439*M439</x:f>
        <x:v>0</x:v>
      </x:c>
      <x:c r="O439" s="53" t="n">
        <x:f>L439*M439</x:f>
        <x:v>0</x:v>
      </x:c>
      <x:c r="P439" t="str">
        <x:f>IF(OR(B439="CONSUMO",B439="SAÍDA"),IF(ISNUMBER(SEARCH("não seguiu FIFO",I439)),"NÃO CONFORME",IF(ISNUMBER(SEARCH("FIFO automático",I439)),"CONFORME","VERIFICAR")),"")</x:f>
      </x:c>
    </x:row>
    <x:row r="440">
      <x:c r="A440" s="52"/>
      <x:c r="G440" s="53"/>
      <x:c r="K440" s="53" t="n">
        <x:f>IF(B440="ENTRADA",G440,0)</x:f>
        <x:v>0</x:v>
      </x:c>
      <x:c r="L440" s="53" t="n">
        <x:f>IF(OR(B440="CONSUMO",B440="SAÍDA"),G440,0)</x:f>
        <x:v>0</x:v>
      </x:c>
      <x:c r="M440" s="53" t="n">
        <x:f>IF(C440="Farinheira",'Regras e Listas'!$D$4,IF(C440="Colorífico",'Regras e Listas'!$D$5,IF(C440="Farinha para o Flotamil",'Regras e Listas'!$D$6,0)))</x:f>
        <x:v>0</x:v>
      </x:c>
      <x:c r="N440" s="53" t="n">
        <x:f>K440*M440</x:f>
        <x:v>0</x:v>
      </x:c>
      <x:c r="O440" s="53" t="n">
        <x:f>L440*M440</x:f>
        <x:v>0</x:v>
      </x:c>
      <x:c r="P440" t="str">
        <x:f>IF(OR(B440="CONSUMO",B440="SAÍDA"),IF(ISNUMBER(SEARCH("não seguiu FIFO",I440)),"NÃO CONFORME",IF(ISNUMBER(SEARCH("FIFO automático",I440)),"CONFORME","VERIFICAR")),"")</x:f>
      </x:c>
    </x:row>
    <x:row r="441">
      <x:c r="A441" s="52"/>
      <x:c r="G441" s="53"/>
      <x:c r="K441" s="53" t="n">
        <x:f>IF(B441="ENTRADA",G441,0)</x:f>
        <x:v>0</x:v>
      </x:c>
      <x:c r="L441" s="53" t="n">
        <x:f>IF(OR(B441="CONSUMO",B441="SAÍDA"),G441,0)</x:f>
        <x:v>0</x:v>
      </x:c>
      <x:c r="M441" s="53" t="n">
        <x:f>IF(C441="Farinheira",'Regras e Listas'!$D$4,IF(C441="Colorífico",'Regras e Listas'!$D$5,IF(C441="Farinha para o Flotamil",'Regras e Listas'!$D$6,0)))</x:f>
        <x:v>0</x:v>
      </x:c>
      <x:c r="N441" s="53" t="n">
        <x:f>K441*M441</x:f>
        <x:v>0</x:v>
      </x:c>
      <x:c r="O441" s="53" t="n">
        <x:f>L441*M441</x:f>
        <x:v>0</x:v>
      </x:c>
      <x:c r="P441" t="str">
        <x:f>IF(OR(B441="CONSUMO",B441="SAÍDA"),IF(ISNUMBER(SEARCH("não seguiu FIFO",I441)),"NÃO CONFORME",IF(ISNUMBER(SEARCH("FIFO automático",I441)),"CONFORME","VERIFICAR")),"")</x:f>
      </x:c>
    </x:row>
    <x:row r="442">
      <x:c r="A442" s="52"/>
      <x:c r="G442" s="53"/>
      <x:c r="K442" s="53" t="n">
        <x:f>IF(B442="ENTRADA",G442,0)</x:f>
        <x:v>0</x:v>
      </x:c>
      <x:c r="L442" s="53" t="n">
        <x:f>IF(OR(B442="CONSUMO",B442="SAÍDA"),G442,0)</x:f>
        <x:v>0</x:v>
      </x:c>
      <x:c r="M442" s="53" t="n">
        <x:f>IF(C442="Farinheira",'Regras e Listas'!$D$4,IF(C442="Colorífico",'Regras e Listas'!$D$5,IF(C442="Farinha para o Flotamil",'Regras e Listas'!$D$6,0)))</x:f>
        <x:v>0</x:v>
      </x:c>
      <x:c r="N442" s="53" t="n">
        <x:f>K442*M442</x:f>
        <x:v>0</x:v>
      </x:c>
      <x:c r="O442" s="53" t="n">
        <x:f>L442*M442</x:f>
        <x:v>0</x:v>
      </x:c>
      <x:c r="P442" t="str">
        <x:f>IF(OR(B442="CONSUMO",B442="SAÍDA"),IF(ISNUMBER(SEARCH("não seguiu FIFO",I442)),"NÃO CONFORME",IF(ISNUMBER(SEARCH("FIFO automático",I442)),"CONFORME","VERIFICAR")),"")</x:f>
      </x:c>
    </x:row>
    <x:row r="443">
      <x:c r="A443" s="52"/>
      <x:c r="G443" s="53"/>
      <x:c r="K443" s="53" t="n">
        <x:f>IF(B443="ENTRADA",G443,0)</x:f>
        <x:v>0</x:v>
      </x:c>
      <x:c r="L443" s="53" t="n">
        <x:f>IF(OR(B443="CONSUMO",B443="SAÍDA"),G443,0)</x:f>
        <x:v>0</x:v>
      </x:c>
      <x:c r="M443" s="53" t="n">
        <x:f>IF(C443="Farinheira",'Regras e Listas'!$D$4,IF(C443="Colorífico",'Regras e Listas'!$D$5,IF(C443="Farinha para o Flotamil",'Regras e Listas'!$D$6,0)))</x:f>
        <x:v>0</x:v>
      </x:c>
      <x:c r="N443" s="53" t="n">
        <x:f>K443*M443</x:f>
        <x:v>0</x:v>
      </x:c>
      <x:c r="O443" s="53" t="n">
        <x:f>L443*M443</x:f>
        <x:v>0</x:v>
      </x:c>
      <x:c r="P443" t="str">
        <x:f>IF(OR(B443="CONSUMO",B443="SAÍDA"),IF(ISNUMBER(SEARCH("não seguiu FIFO",I443)),"NÃO CONFORME",IF(ISNUMBER(SEARCH("FIFO automático",I443)),"CONFORME","VERIFICAR")),"")</x:f>
      </x:c>
    </x:row>
    <x:row r="444">
      <x:c r="A444" s="52"/>
      <x:c r="G444" s="53"/>
      <x:c r="K444" s="53" t="n">
        <x:f>IF(B444="ENTRADA",G444,0)</x:f>
        <x:v>0</x:v>
      </x:c>
      <x:c r="L444" s="53" t="n">
        <x:f>IF(OR(B444="CONSUMO",B444="SAÍDA"),G444,0)</x:f>
        <x:v>0</x:v>
      </x:c>
      <x:c r="M444" s="53" t="n">
        <x:f>IF(C444="Farinheira",'Regras e Listas'!$D$4,IF(C444="Colorífico",'Regras e Listas'!$D$5,IF(C444="Farinha para o Flotamil",'Regras e Listas'!$D$6,0)))</x:f>
        <x:v>0</x:v>
      </x:c>
      <x:c r="N444" s="53" t="n">
        <x:f>K444*M444</x:f>
        <x:v>0</x:v>
      </x:c>
      <x:c r="O444" s="53" t="n">
        <x:f>L444*M444</x:f>
        <x:v>0</x:v>
      </x:c>
      <x:c r="P444" t="str">
        <x:f>IF(OR(B444="CONSUMO",B444="SAÍDA"),IF(ISNUMBER(SEARCH("não seguiu FIFO",I444)),"NÃO CONFORME",IF(ISNUMBER(SEARCH("FIFO automático",I444)),"CONFORME","VERIFICAR")),"")</x:f>
      </x:c>
    </x:row>
    <x:row r="445">
      <x:c r="A445" s="52"/>
      <x:c r="G445" s="53"/>
      <x:c r="K445" s="53" t="n">
        <x:f>IF(B445="ENTRADA",G445,0)</x:f>
        <x:v>0</x:v>
      </x:c>
      <x:c r="L445" s="53" t="n">
        <x:f>IF(OR(B445="CONSUMO",B445="SAÍDA"),G445,0)</x:f>
        <x:v>0</x:v>
      </x:c>
      <x:c r="M445" s="53" t="n">
        <x:f>IF(C445="Farinheira",'Regras e Listas'!$D$4,IF(C445="Colorífico",'Regras e Listas'!$D$5,IF(C445="Farinha para o Flotamil",'Regras e Listas'!$D$6,0)))</x:f>
        <x:v>0</x:v>
      </x:c>
      <x:c r="N445" s="53" t="n">
        <x:f>K445*M445</x:f>
        <x:v>0</x:v>
      </x:c>
      <x:c r="O445" s="53" t="n">
        <x:f>L445*M445</x:f>
        <x:v>0</x:v>
      </x:c>
      <x:c r="P445" t="str">
        <x:f>IF(OR(B445="CONSUMO",B445="SAÍDA"),IF(ISNUMBER(SEARCH("não seguiu FIFO",I445)),"NÃO CONFORME",IF(ISNUMBER(SEARCH("FIFO automático",I445)),"CONFORME","VERIFICAR")),"")</x:f>
      </x:c>
    </x:row>
    <x:row r="446">
      <x:c r="A446" s="52"/>
      <x:c r="G446" s="53"/>
      <x:c r="K446" s="53" t="n">
        <x:f>IF(B446="ENTRADA",G446,0)</x:f>
        <x:v>0</x:v>
      </x:c>
      <x:c r="L446" s="53" t="n">
        <x:f>IF(OR(B446="CONSUMO",B446="SAÍDA"),G446,0)</x:f>
        <x:v>0</x:v>
      </x:c>
      <x:c r="M446" s="53" t="n">
        <x:f>IF(C446="Farinheira",'Regras e Listas'!$D$4,IF(C446="Colorífico",'Regras e Listas'!$D$5,IF(C446="Farinha para o Flotamil",'Regras e Listas'!$D$6,0)))</x:f>
        <x:v>0</x:v>
      </x:c>
      <x:c r="N446" s="53" t="n">
        <x:f>K446*M446</x:f>
        <x:v>0</x:v>
      </x:c>
      <x:c r="O446" s="53" t="n">
        <x:f>L446*M446</x:f>
        <x:v>0</x:v>
      </x:c>
      <x:c r="P446" t="str">
        <x:f>IF(OR(B446="CONSUMO",B446="SAÍDA"),IF(ISNUMBER(SEARCH("não seguiu FIFO",I446)),"NÃO CONFORME",IF(ISNUMBER(SEARCH("FIFO automático",I446)),"CONFORME","VERIFICAR")),"")</x:f>
      </x:c>
    </x:row>
    <x:row r="447">
      <x:c r="A447" s="52"/>
      <x:c r="G447" s="53"/>
      <x:c r="K447" s="53" t="n">
        <x:f>IF(B447="ENTRADA",G447,0)</x:f>
        <x:v>0</x:v>
      </x:c>
      <x:c r="L447" s="53" t="n">
        <x:f>IF(OR(B447="CONSUMO",B447="SAÍDA"),G447,0)</x:f>
        <x:v>0</x:v>
      </x:c>
      <x:c r="M447" s="53" t="n">
        <x:f>IF(C447="Farinheira",'Regras e Listas'!$D$4,IF(C447="Colorífico",'Regras e Listas'!$D$5,IF(C447="Farinha para o Flotamil",'Regras e Listas'!$D$6,0)))</x:f>
        <x:v>0</x:v>
      </x:c>
      <x:c r="N447" s="53" t="n">
        <x:f>K447*M447</x:f>
        <x:v>0</x:v>
      </x:c>
      <x:c r="O447" s="53" t="n">
        <x:f>L447*M447</x:f>
        <x:v>0</x:v>
      </x:c>
      <x:c r="P447" t="str">
        <x:f>IF(OR(B447="CONSUMO",B447="SAÍDA"),IF(ISNUMBER(SEARCH("não seguiu FIFO",I447)),"NÃO CONFORME",IF(ISNUMBER(SEARCH("FIFO automático",I447)),"CONFORME","VERIFICAR")),"")</x:f>
      </x:c>
    </x:row>
    <x:row r="448">
      <x:c r="A448" s="52"/>
      <x:c r="G448" s="53"/>
      <x:c r="K448" s="53" t="n">
        <x:f>IF(B448="ENTRADA",G448,0)</x:f>
        <x:v>0</x:v>
      </x:c>
      <x:c r="L448" s="53" t="n">
        <x:f>IF(OR(B448="CONSUMO",B448="SAÍDA"),G448,0)</x:f>
        <x:v>0</x:v>
      </x:c>
      <x:c r="M448" s="53" t="n">
        <x:f>IF(C448="Farinheira",'Regras e Listas'!$D$4,IF(C448="Colorífico",'Regras e Listas'!$D$5,IF(C448="Farinha para o Flotamil",'Regras e Listas'!$D$6,0)))</x:f>
        <x:v>0</x:v>
      </x:c>
      <x:c r="N448" s="53" t="n">
        <x:f>K448*M448</x:f>
        <x:v>0</x:v>
      </x:c>
      <x:c r="O448" s="53" t="n">
        <x:f>L448*M448</x:f>
        <x:v>0</x:v>
      </x:c>
      <x:c r="P448" t="str">
        <x:f>IF(OR(B448="CONSUMO",B448="SAÍDA"),IF(ISNUMBER(SEARCH("não seguiu FIFO",I448)),"NÃO CONFORME",IF(ISNUMBER(SEARCH("FIFO automático",I448)),"CONFORME","VERIFICAR")),"")</x:f>
      </x:c>
    </x:row>
    <x:row r="449">
      <x:c r="A449" s="52"/>
      <x:c r="G449" s="53"/>
      <x:c r="K449" s="53" t="n">
        <x:f>IF(B449="ENTRADA",G449,0)</x:f>
        <x:v>0</x:v>
      </x:c>
      <x:c r="L449" s="53" t="n">
        <x:f>IF(OR(B449="CONSUMO",B449="SAÍDA"),G449,0)</x:f>
        <x:v>0</x:v>
      </x:c>
      <x:c r="M449" s="53" t="n">
        <x:f>IF(C449="Farinheira",'Regras e Listas'!$D$4,IF(C449="Colorífico",'Regras e Listas'!$D$5,IF(C449="Farinha para o Flotamil",'Regras e Listas'!$D$6,0)))</x:f>
        <x:v>0</x:v>
      </x:c>
      <x:c r="N449" s="53" t="n">
        <x:f>K449*M449</x:f>
        <x:v>0</x:v>
      </x:c>
      <x:c r="O449" s="53" t="n">
        <x:f>L449*M449</x:f>
        <x:v>0</x:v>
      </x:c>
      <x:c r="P449" t="str">
        <x:f>IF(OR(B449="CONSUMO",B449="SAÍDA"),IF(ISNUMBER(SEARCH("não seguiu FIFO",I449)),"NÃO CONFORME",IF(ISNUMBER(SEARCH("FIFO automático",I449)),"CONFORME","VERIFICAR")),"")</x:f>
      </x:c>
    </x:row>
    <x:row r="450">
      <x:c r="A450" s="52"/>
      <x:c r="G450" s="53"/>
      <x:c r="K450" s="53" t="n">
        <x:f>IF(B450="ENTRADA",G450,0)</x:f>
        <x:v>0</x:v>
      </x:c>
      <x:c r="L450" s="53" t="n">
        <x:f>IF(OR(B450="CONSUMO",B450="SAÍDA"),G450,0)</x:f>
        <x:v>0</x:v>
      </x:c>
      <x:c r="M450" s="53" t="n">
        <x:f>IF(C450="Farinheira",'Regras e Listas'!$D$4,IF(C450="Colorífico",'Regras e Listas'!$D$5,IF(C450="Farinha para o Flotamil",'Regras e Listas'!$D$6,0)))</x:f>
        <x:v>0</x:v>
      </x:c>
      <x:c r="N450" s="53" t="n">
        <x:f>K450*M450</x:f>
        <x:v>0</x:v>
      </x:c>
      <x:c r="O450" s="53" t="n">
        <x:f>L450*M450</x:f>
        <x:v>0</x:v>
      </x:c>
      <x:c r="P450" t="str">
        <x:f>IF(OR(B450="CONSUMO",B450="SAÍDA"),IF(ISNUMBER(SEARCH("não seguiu FIFO",I450)),"NÃO CONFORME",IF(ISNUMBER(SEARCH("FIFO automático",I450)),"CONFORME","VERIFICAR")),"")</x:f>
      </x:c>
    </x:row>
    <x:row r="451">
      <x:c r="A451" s="52"/>
      <x:c r="G451" s="53"/>
      <x:c r="K451" s="53" t="n">
        <x:f>IF(B451="ENTRADA",G451,0)</x:f>
        <x:v>0</x:v>
      </x:c>
      <x:c r="L451" s="53" t="n">
        <x:f>IF(OR(B451="CONSUMO",B451="SAÍDA"),G451,0)</x:f>
        <x:v>0</x:v>
      </x:c>
      <x:c r="M451" s="53" t="n">
        <x:f>IF(C451="Farinheira",'Regras e Listas'!$D$4,IF(C451="Colorífico",'Regras e Listas'!$D$5,IF(C451="Farinha para o Flotamil",'Regras e Listas'!$D$6,0)))</x:f>
        <x:v>0</x:v>
      </x:c>
      <x:c r="N451" s="53" t="n">
        <x:f>K451*M451</x:f>
        <x:v>0</x:v>
      </x:c>
      <x:c r="O451" s="53" t="n">
        <x:f>L451*M451</x:f>
        <x:v>0</x:v>
      </x:c>
      <x:c r="P451" t="str">
        <x:f>IF(OR(B451="CONSUMO",B451="SAÍDA"),IF(ISNUMBER(SEARCH("não seguiu FIFO",I451)),"NÃO CONFORME",IF(ISNUMBER(SEARCH("FIFO automático",I451)),"CONFORME","VERIFICAR")),"")</x:f>
      </x:c>
    </x:row>
    <x:row r="452">
      <x:c r="A452" s="52"/>
      <x:c r="G452" s="53"/>
      <x:c r="K452" s="53" t="n">
        <x:f>IF(B452="ENTRADA",G452,0)</x:f>
        <x:v>0</x:v>
      </x:c>
      <x:c r="L452" s="53" t="n">
        <x:f>IF(OR(B452="CONSUMO",B452="SAÍDA"),G452,0)</x:f>
        <x:v>0</x:v>
      </x:c>
      <x:c r="M452" s="53" t="n">
        <x:f>IF(C452="Farinheira",'Regras e Listas'!$D$4,IF(C452="Colorífico",'Regras e Listas'!$D$5,IF(C452="Farinha para o Flotamil",'Regras e Listas'!$D$6,0)))</x:f>
        <x:v>0</x:v>
      </x:c>
      <x:c r="N452" s="53" t="n">
        <x:f>K452*M452</x:f>
        <x:v>0</x:v>
      </x:c>
      <x:c r="O452" s="53" t="n">
        <x:f>L452*M452</x:f>
        <x:v>0</x:v>
      </x:c>
      <x:c r="P452" t="str">
        <x:f>IF(OR(B452="CONSUMO",B452="SAÍDA"),IF(ISNUMBER(SEARCH("não seguiu FIFO",I452)),"NÃO CONFORME",IF(ISNUMBER(SEARCH("FIFO automático",I452)),"CONFORME","VERIFICAR")),"")</x:f>
      </x:c>
    </x:row>
    <x:row r="453">
      <x:c r="A453" s="52"/>
      <x:c r="G453" s="53"/>
      <x:c r="K453" s="53" t="n">
        <x:f>IF(B453="ENTRADA",G453,0)</x:f>
        <x:v>0</x:v>
      </x:c>
      <x:c r="L453" s="53" t="n">
        <x:f>IF(OR(B453="CONSUMO",B453="SAÍDA"),G453,0)</x:f>
        <x:v>0</x:v>
      </x:c>
      <x:c r="M453" s="53" t="n">
        <x:f>IF(C453="Farinheira",'Regras e Listas'!$D$4,IF(C453="Colorífico",'Regras e Listas'!$D$5,IF(C453="Farinha para o Flotamil",'Regras e Listas'!$D$6,0)))</x:f>
        <x:v>0</x:v>
      </x:c>
      <x:c r="N453" s="53" t="n">
        <x:f>K453*M453</x:f>
        <x:v>0</x:v>
      </x:c>
      <x:c r="O453" s="53" t="n">
        <x:f>L453*M453</x:f>
        <x:v>0</x:v>
      </x:c>
      <x:c r="P453" t="str">
        <x:f>IF(OR(B453="CONSUMO",B453="SAÍDA"),IF(ISNUMBER(SEARCH("não seguiu FIFO",I453)),"NÃO CONFORME",IF(ISNUMBER(SEARCH("FIFO automático",I453)),"CONFORME","VERIFICAR")),"")</x:f>
      </x:c>
    </x:row>
    <x:row r="454">
      <x:c r="A454" s="52"/>
      <x:c r="G454" s="53"/>
      <x:c r="K454" s="53" t="n">
        <x:f>IF(B454="ENTRADA",G454,0)</x:f>
        <x:v>0</x:v>
      </x:c>
      <x:c r="L454" s="53" t="n">
        <x:f>IF(OR(B454="CONSUMO",B454="SAÍDA"),G454,0)</x:f>
        <x:v>0</x:v>
      </x:c>
      <x:c r="M454" s="53" t="n">
        <x:f>IF(C454="Farinheira",'Regras e Listas'!$D$4,IF(C454="Colorífico",'Regras e Listas'!$D$5,IF(C454="Farinha para o Flotamil",'Regras e Listas'!$D$6,0)))</x:f>
        <x:v>0</x:v>
      </x:c>
      <x:c r="N454" s="53" t="n">
        <x:f>K454*M454</x:f>
        <x:v>0</x:v>
      </x:c>
      <x:c r="O454" s="53" t="n">
        <x:f>L454*M454</x:f>
        <x:v>0</x:v>
      </x:c>
      <x:c r="P454" t="str">
        <x:f>IF(OR(B454="CONSUMO",B454="SAÍDA"),IF(ISNUMBER(SEARCH("não seguiu FIFO",I454)),"NÃO CONFORME",IF(ISNUMBER(SEARCH("FIFO automático",I454)),"CONFORME","VERIFICAR")),"")</x:f>
      </x:c>
    </x:row>
    <x:row r="455">
      <x:c r="A455" s="52"/>
      <x:c r="G455" s="53"/>
      <x:c r="K455" s="53" t="n">
        <x:f>IF(B455="ENTRADA",G455,0)</x:f>
        <x:v>0</x:v>
      </x:c>
      <x:c r="L455" s="53" t="n">
        <x:f>IF(OR(B455="CONSUMO",B455="SAÍDA"),G455,0)</x:f>
        <x:v>0</x:v>
      </x:c>
      <x:c r="M455" s="53" t="n">
        <x:f>IF(C455="Farinheira",'Regras e Listas'!$D$4,IF(C455="Colorífico",'Regras e Listas'!$D$5,IF(C455="Farinha para o Flotamil",'Regras e Listas'!$D$6,0)))</x:f>
        <x:v>0</x:v>
      </x:c>
      <x:c r="N455" s="53" t="n">
        <x:f>K455*M455</x:f>
        <x:v>0</x:v>
      </x:c>
      <x:c r="O455" s="53" t="n">
        <x:f>L455*M455</x:f>
        <x:v>0</x:v>
      </x:c>
      <x:c r="P455" t="str">
        <x:f>IF(OR(B455="CONSUMO",B455="SAÍDA"),IF(ISNUMBER(SEARCH("não seguiu FIFO",I455)),"NÃO CONFORME",IF(ISNUMBER(SEARCH("FIFO automático",I455)),"CONFORME","VERIFICAR")),"")</x:f>
      </x:c>
    </x:row>
    <x:row r="456">
      <x:c r="A456" s="52"/>
      <x:c r="G456" s="53"/>
      <x:c r="K456" s="53" t="n">
        <x:f>IF(B456="ENTRADA",G456,0)</x:f>
        <x:v>0</x:v>
      </x:c>
      <x:c r="L456" s="53" t="n">
        <x:f>IF(OR(B456="CONSUMO",B456="SAÍDA"),G456,0)</x:f>
        <x:v>0</x:v>
      </x:c>
      <x:c r="M456" s="53" t="n">
        <x:f>IF(C456="Farinheira",'Regras e Listas'!$D$4,IF(C456="Colorífico",'Regras e Listas'!$D$5,IF(C456="Farinha para o Flotamil",'Regras e Listas'!$D$6,0)))</x:f>
        <x:v>0</x:v>
      </x:c>
      <x:c r="N456" s="53" t="n">
        <x:f>K456*M456</x:f>
        <x:v>0</x:v>
      </x:c>
      <x:c r="O456" s="53" t="n">
        <x:f>L456*M456</x:f>
        <x:v>0</x:v>
      </x:c>
      <x:c r="P456" t="str">
        <x:f>IF(OR(B456="CONSUMO",B456="SAÍDA"),IF(ISNUMBER(SEARCH("não seguiu FIFO",I456)),"NÃO CONFORME",IF(ISNUMBER(SEARCH("FIFO automático",I456)),"CONFORME","VERIFICAR")),"")</x:f>
      </x:c>
    </x:row>
    <x:row r="457">
      <x:c r="A457" s="52"/>
      <x:c r="G457" s="53"/>
      <x:c r="K457" s="53" t="n">
        <x:f>IF(B457="ENTRADA",G457,0)</x:f>
        <x:v>0</x:v>
      </x:c>
      <x:c r="L457" s="53" t="n">
        <x:f>IF(OR(B457="CONSUMO",B457="SAÍDA"),G457,0)</x:f>
        <x:v>0</x:v>
      </x:c>
      <x:c r="M457" s="53" t="n">
        <x:f>IF(C457="Farinheira",'Regras e Listas'!$D$4,IF(C457="Colorífico",'Regras e Listas'!$D$5,IF(C457="Farinha para o Flotamil",'Regras e Listas'!$D$6,0)))</x:f>
        <x:v>0</x:v>
      </x:c>
      <x:c r="N457" s="53" t="n">
        <x:f>K457*M457</x:f>
        <x:v>0</x:v>
      </x:c>
      <x:c r="O457" s="53" t="n">
        <x:f>L457*M457</x:f>
        <x:v>0</x:v>
      </x:c>
      <x:c r="P457" t="str">
        <x:f>IF(OR(B457="CONSUMO",B457="SAÍDA"),IF(ISNUMBER(SEARCH("não seguiu FIFO",I457)),"NÃO CONFORME",IF(ISNUMBER(SEARCH("FIFO automático",I457)),"CONFORME","VERIFICAR")),"")</x:f>
      </x:c>
    </x:row>
    <x:row r="458">
      <x:c r="A458" s="52"/>
      <x:c r="G458" s="53"/>
      <x:c r="K458" s="53" t="n">
        <x:f>IF(B458="ENTRADA",G458,0)</x:f>
        <x:v>0</x:v>
      </x:c>
      <x:c r="L458" s="53" t="n">
        <x:f>IF(OR(B458="CONSUMO",B458="SAÍDA"),G458,0)</x:f>
        <x:v>0</x:v>
      </x:c>
      <x:c r="M458" s="53" t="n">
        <x:f>IF(C458="Farinheira",'Regras e Listas'!$D$4,IF(C458="Colorífico",'Regras e Listas'!$D$5,IF(C458="Farinha para o Flotamil",'Regras e Listas'!$D$6,0)))</x:f>
        <x:v>0</x:v>
      </x:c>
      <x:c r="N458" s="53" t="n">
        <x:f>K458*M458</x:f>
        <x:v>0</x:v>
      </x:c>
      <x:c r="O458" s="53" t="n">
        <x:f>L458*M458</x:f>
        <x:v>0</x:v>
      </x:c>
      <x:c r="P458" t="str">
        <x:f>IF(OR(B458="CONSUMO",B458="SAÍDA"),IF(ISNUMBER(SEARCH("não seguiu FIFO",I458)),"NÃO CONFORME",IF(ISNUMBER(SEARCH("FIFO automático",I458)),"CONFORME","VERIFICAR")),"")</x:f>
      </x:c>
    </x:row>
    <x:row r="459">
      <x:c r="A459" s="52"/>
      <x:c r="G459" s="53"/>
      <x:c r="K459" s="53" t="n">
        <x:f>IF(B459="ENTRADA",G459,0)</x:f>
        <x:v>0</x:v>
      </x:c>
      <x:c r="L459" s="53" t="n">
        <x:f>IF(OR(B459="CONSUMO",B459="SAÍDA"),G459,0)</x:f>
        <x:v>0</x:v>
      </x:c>
      <x:c r="M459" s="53" t="n">
        <x:f>IF(C459="Farinheira",'Regras e Listas'!$D$4,IF(C459="Colorífico",'Regras e Listas'!$D$5,IF(C459="Farinha para o Flotamil",'Regras e Listas'!$D$6,0)))</x:f>
        <x:v>0</x:v>
      </x:c>
      <x:c r="N459" s="53" t="n">
        <x:f>K459*M459</x:f>
        <x:v>0</x:v>
      </x:c>
      <x:c r="O459" s="53" t="n">
        <x:f>L459*M459</x:f>
        <x:v>0</x:v>
      </x:c>
      <x:c r="P459" t="str">
        <x:f>IF(OR(B459="CONSUMO",B459="SAÍDA"),IF(ISNUMBER(SEARCH("não seguiu FIFO",I459)),"NÃO CONFORME",IF(ISNUMBER(SEARCH("FIFO automático",I459)),"CONFORME","VERIFICAR")),"")</x:f>
      </x:c>
    </x:row>
    <x:row r="460">
      <x:c r="A460" s="52"/>
      <x:c r="G460" s="53"/>
      <x:c r="K460" s="53" t="n">
        <x:f>IF(B460="ENTRADA",G460,0)</x:f>
        <x:v>0</x:v>
      </x:c>
      <x:c r="L460" s="53" t="n">
        <x:f>IF(OR(B460="CONSUMO",B460="SAÍDA"),G460,0)</x:f>
        <x:v>0</x:v>
      </x:c>
      <x:c r="M460" s="53" t="n">
        <x:f>IF(C460="Farinheira",'Regras e Listas'!$D$4,IF(C460="Colorífico",'Regras e Listas'!$D$5,IF(C460="Farinha para o Flotamil",'Regras e Listas'!$D$6,0)))</x:f>
        <x:v>0</x:v>
      </x:c>
      <x:c r="N460" s="53" t="n">
        <x:f>K460*M460</x:f>
        <x:v>0</x:v>
      </x:c>
      <x:c r="O460" s="53" t="n">
        <x:f>L460*M460</x:f>
        <x:v>0</x:v>
      </x:c>
      <x:c r="P460" t="str">
        <x:f>IF(OR(B460="CONSUMO",B460="SAÍDA"),IF(ISNUMBER(SEARCH("não seguiu FIFO",I460)),"NÃO CONFORME",IF(ISNUMBER(SEARCH("FIFO automático",I460)),"CONFORME","VERIFICAR")),"")</x:f>
      </x:c>
    </x:row>
    <x:row r="461">
      <x:c r="A461" s="52"/>
      <x:c r="G461" s="53"/>
      <x:c r="K461" s="53" t="n">
        <x:f>IF(B461="ENTRADA",G461,0)</x:f>
        <x:v>0</x:v>
      </x:c>
      <x:c r="L461" s="53" t="n">
        <x:f>IF(OR(B461="CONSUMO",B461="SAÍDA"),G461,0)</x:f>
        <x:v>0</x:v>
      </x:c>
      <x:c r="M461" s="53" t="n">
        <x:f>IF(C461="Farinheira",'Regras e Listas'!$D$4,IF(C461="Colorífico",'Regras e Listas'!$D$5,IF(C461="Farinha para o Flotamil",'Regras e Listas'!$D$6,0)))</x:f>
        <x:v>0</x:v>
      </x:c>
      <x:c r="N461" s="53" t="n">
        <x:f>K461*M461</x:f>
        <x:v>0</x:v>
      </x:c>
      <x:c r="O461" s="53" t="n">
        <x:f>L461*M461</x:f>
        <x:v>0</x:v>
      </x:c>
      <x:c r="P461" t="str">
        <x:f>IF(OR(B461="CONSUMO",B461="SAÍDA"),IF(ISNUMBER(SEARCH("não seguiu FIFO",I461)),"NÃO CONFORME",IF(ISNUMBER(SEARCH("FIFO automático",I461)),"CONFORME","VERIFICAR")),"")</x:f>
      </x:c>
    </x:row>
    <x:row r="462">
      <x:c r="A462" s="52"/>
      <x:c r="G462" s="53"/>
      <x:c r="K462" s="53" t="n">
        <x:f>IF(B462="ENTRADA",G462,0)</x:f>
        <x:v>0</x:v>
      </x:c>
      <x:c r="L462" s="53" t="n">
        <x:f>IF(OR(B462="CONSUMO",B462="SAÍDA"),G462,0)</x:f>
        <x:v>0</x:v>
      </x:c>
      <x:c r="M462" s="53" t="n">
        <x:f>IF(C462="Farinheira",'Regras e Listas'!$D$4,IF(C462="Colorífico",'Regras e Listas'!$D$5,IF(C462="Farinha para o Flotamil",'Regras e Listas'!$D$6,0)))</x:f>
        <x:v>0</x:v>
      </x:c>
      <x:c r="N462" s="53" t="n">
        <x:f>K462*M462</x:f>
        <x:v>0</x:v>
      </x:c>
      <x:c r="O462" s="53" t="n">
        <x:f>L462*M462</x:f>
        <x:v>0</x:v>
      </x:c>
      <x:c r="P462" t="str">
        <x:f>IF(OR(B462="CONSUMO",B462="SAÍDA"),IF(ISNUMBER(SEARCH("não seguiu FIFO",I462)),"NÃO CONFORME",IF(ISNUMBER(SEARCH("FIFO automático",I462)),"CONFORME","VERIFICAR")),"")</x:f>
      </x:c>
    </x:row>
    <x:row r="463">
      <x:c r="A463" s="52"/>
      <x:c r="G463" s="53"/>
      <x:c r="K463" s="53" t="n">
        <x:f>IF(B463="ENTRADA",G463,0)</x:f>
        <x:v>0</x:v>
      </x:c>
      <x:c r="L463" s="53" t="n">
        <x:f>IF(OR(B463="CONSUMO",B463="SAÍDA"),G463,0)</x:f>
        <x:v>0</x:v>
      </x:c>
      <x:c r="M463" s="53" t="n">
        <x:f>IF(C463="Farinheira",'Regras e Listas'!$D$4,IF(C463="Colorífico",'Regras e Listas'!$D$5,IF(C463="Farinha para o Flotamil",'Regras e Listas'!$D$6,0)))</x:f>
        <x:v>0</x:v>
      </x:c>
      <x:c r="N463" s="53" t="n">
        <x:f>K463*M463</x:f>
        <x:v>0</x:v>
      </x:c>
      <x:c r="O463" s="53" t="n">
        <x:f>L463*M463</x:f>
        <x:v>0</x:v>
      </x:c>
      <x:c r="P463" t="str">
        <x:f>IF(OR(B463="CONSUMO",B463="SAÍDA"),IF(ISNUMBER(SEARCH("não seguiu FIFO",I463)),"NÃO CONFORME",IF(ISNUMBER(SEARCH("FIFO automático",I463)),"CONFORME","VERIFICAR")),"")</x:f>
      </x:c>
    </x:row>
    <x:row r="464">
      <x:c r="A464" s="52"/>
      <x:c r="G464" s="53"/>
      <x:c r="K464" s="53" t="n">
        <x:f>IF(B464="ENTRADA",G464,0)</x:f>
        <x:v>0</x:v>
      </x:c>
      <x:c r="L464" s="53" t="n">
        <x:f>IF(OR(B464="CONSUMO",B464="SAÍDA"),G464,0)</x:f>
        <x:v>0</x:v>
      </x:c>
      <x:c r="M464" s="53" t="n">
        <x:f>IF(C464="Farinheira",'Regras e Listas'!$D$4,IF(C464="Colorífico",'Regras e Listas'!$D$5,IF(C464="Farinha para o Flotamil",'Regras e Listas'!$D$6,0)))</x:f>
        <x:v>0</x:v>
      </x:c>
      <x:c r="N464" s="53" t="n">
        <x:f>K464*M464</x:f>
        <x:v>0</x:v>
      </x:c>
      <x:c r="O464" s="53" t="n">
        <x:f>L464*M464</x:f>
        <x:v>0</x:v>
      </x:c>
      <x:c r="P464" t="str">
        <x:f>IF(OR(B464="CONSUMO",B464="SAÍDA"),IF(ISNUMBER(SEARCH("não seguiu FIFO",I464)),"NÃO CONFORME",IF(ISNUMBER(SEARCH("FIFO automático",I464)),"CONFORME","VERIFICAR")),"")</x:f>
      </x:c>
    </x:row>
    <x:row r="465">
      <x:c r="A465" s="52"/>
      <x:c r="G465" s="53"/>
      <x:c r="K465" s="53" t="n">
        <x:f>IF(B465="ENTRADA",G465,0)</x:f>
        <x:v>0</x:v>
      </x:c>
      <x:c r="L465" s="53" t="n">
        <x:f>IF(OR(B465="CONSUMO",B465="SAÍDA"),G465,0)</x:f>
        <x:v>0</x:v>
      </x:c>
      <x:c r="M465" s="53" t="n">
        <x:f>IF(C465="Farinheira",'Regras e Listas'!$D$4,IF(C465="Colorífico",'Regras e Listas'!$D$5,IF(C465="Farinha para o Flotamil",'Regras e Listas'!$D$6,0)))</x:f>
        <x:v>0</x:v>
      </x:c>
      <x:c r="N465" s="53" t="n">
        <x:f>K465*M465</x:f>
        <x:v>0</x:v>
      </x:c>
      <x:c r="O465" s="53" t="n">
        <x:f>L465*M465</x:f>
        <x:v>0</x:v>
      </x:c>
      <x:c r="P465" t="str">
        <x:f>IF(OR(B465="CONSUMO",B465="SAÍDA"),IF(ISNUMBER(SEARCH("não seguiu FIFO",I465)),"NÃO CONFORME",IF(ISNUMBER(SEARCH("FIFO automático",I465)),"CONFORME","VERIFICAR")),"")</x:f>
      </x:c>
    </x:row>
    <x:row r="466">
      <x:c r="A466" s="52"/>
      <x:c r="G466" s="53"/>
      <x:c r="K466" s="53" t="n">
        <x:f>IF(B466="ENTRADA",G466,0)</x:f>
        <x:v>0</x:v>
      </x:c>
      <x:c r="L466" s="53" t="n">
        <x:f>IF(OR(B466="CONSUMO",B466="SAÍDA"),G466,0)</x:f>
        <x:v>0</x:v>
      </x:c>
      <x:c r="M466" s="53" t="n">
        <x:f>IF(C466="Farinheira",'Regras e Listas'!$D$4,IF(C466="Colorífico",'Regras e Listas'!$D$5,IF(C466="Farinha para o Flotamil",'Regras e Listas'!$D$6,0)))</x:f>
        <x:v>0</x:v>
      </x:c>
      <x:c r="N466" s="53" t="n">
        <x:f>K466*M466</x:f>
        <x:v>0</x:v>
      </x:c>
      <x:c r="O466" s="53" t="n">
        <x:f>L466*M466</x:f>
        <x:v>0</x:v>
      </x:c>
      <x:c r="P466" t="str">
        <x:f>IF(OR(B466="CONSUMO",B466="SAÍDA"),IF(ISNUMBER(SEARCH("não seguiu FIFO",I466)),"NÃO CONFORME",IF(ISNUMBER(SEARCH("FIFO automático",I466)),"CONFORME","VERIFICAR")),"")</x:f>
      </x:c>
    </x:row>
    <x:row r="467">
      <x:c r="A467" s="52"/>
      <x:c r="G467" s="53"/>
      <x:c r="K467" s="53" t="n">
        <x:f>IF(B467="ENTRADA",G467,0)</x:f>
        <x:v>0</x:v>
      </x:c>
      <x:c r="L467" s="53" t="n">
        <x:f>IF(OR(B467="CONSUMO",B467="SAÍDA"),G467,0)</x:f>
        <x:v>0</x:v>
      </x:c>
      <x:c r="M467" s="53" t="n">
        <x:f>IF(C467="Farinheira",'Regras e Listas'!$D$4,IF(C467="Colorífico",'Regras e Listas'!$D$5,IF(C467="Farinha para o Flotamil",'Regras e Listas'!$D$6,0)))</x:f>
        <x:v>0</x:v>
      </x:c>
      <x:c r="N467" s="53" t="n">
        <x:f>K467*M467</x:f>
        <x:v>0</x:v>
      </x:c>
      <x:c r="O467" s="53" t="n">
        <x:f>L467*M467</x:f>
        <x:v>0</x:v>
      </x:c>
      <x:c r="P467" t="str">
        <x:f>IF(OR(B467="CONSUMO",B467="SAÍDA"),IF(ISNUMBER(SEARCH("não seguiu FIFO",I467)),"NÃO CONFORME",IF(ISNUMBER(SEARCH("FIFO automático",I467)),"CONFORME","VERIFICAR")),"")</x:f>
      </x:c>
    </x:row>
    <x:row r="468">
      <x:c r="A468" s="52"/>
      <x:c r="G468" s="53"/>
      <x:c r="K468" s="53" t="n">
        <x:f>IF(B468="ENTRADA",G468,0)</x:f>
        <x:v>0</x:v>
      </x:c>
      <x:c r="L468" s="53" t="n">
        <x:f>IF(OR(B468="CONSUMO",B468="SAÍDA"),G468,0)</x:f>
        <x:v>0</x:v>
      </x:c>
      <x:c r="M468" s="53" t="n">
        <x:f>IF(C468="Farinheira",'Regras e Listas'!$D$4,IF(C468="Colorífico",'Regras e Listas'!$D$5,IF(C468="Farinha para o Flotamil",'Regras e Listas'!$D$6,0)))</x:f>
        <x:v>0</x:v>
      </x:c>
      <x:c r="N468" s="53" t="n">
        <x:f>K468*M468</x:f>
        <x:v>0</x:v>
      </x:c>
      <x:c r="O468" s="53" t="n">
        <x:f>L468*M468</x:f>
        <x:v>0</x:v>
      </x:c>
      <x:c r="P468" t="str">
        <x:f>IF(OR(B468="CONSUMO",B468="SAÍDA"),IF(ISNUMBER(SEARCH("não seguiu FIFO",I468)),"NÃO CONFORME",IF(ISNUMBER(SEARCH("FIFO automático",I468)),"CONFORME","VERIFICAR")),"")</x:f>
      </x:c>
    </x:row>
    <x:row r="469">
      <x:c r="A469" s="52"/>
      <x:c r="G469" s="53"/>
      <x:c r="K469" s="53" t="n">
        <x:f>IF(B469="ENTRADA",G469,0)</x:f>
        <x:v>0</x:v>
      </x:c>
      <x:c r="L469" s="53" t="n">
        <x:f>IF(OR(B469="CONSUMO",B469="SAÍDA"),G469,0)</x:f>
        <x:v>0</x:v>
      </x:c>
      <x:c r="M469" s="53" t="n">
        <x:f>IF(C469="Farinheira",'Regras e Listas'!$D$4,IF(C469="Colorífico",'Regras e Listas'!$D$5,IF(C469="Farinha para o Flotamil",'Regras e Listas'!$D$6,0)))</x:f>
        <x:v>0</x:v>
      </x:c>
      <x:c r="N469" s="53" t="n">
        <x:f>K469*M469</x:f>
        <x:v>0</x:v>
      </x:c>
      <x:c r="O469" s="53" t="n">
        <x:f>L469*M469</x:f>
        <x:v>0</x:v>
      </x:c>
      <x:c r="P469" t="str">
        <x:f>IF(OR(B469="CONSUMO",B469="SAÍDA"),IF(ISNUMBER(SEARCH("não seguiu FIFO",I469)),"NÃO CONFORME",IF(ISNUMBER(SEARCH("FIFO automático",I469)),"CONFORME","VERIFICAR")),"")</x:f>
      </x:c>
    </x:row>
    <x:row r="470">
      <x:c r="A470" s="52"/>
      <x:c r="G470" s="53"/>
      <x:c r="K470" s="53" t="n">
        <x:f>IF(B470="ENTRADA",G470,0)</x:f>
        <x:v>0</x:v>
      </x:c>
      <x:c r="L470" s="53" t="n">
        <x:f>IF(OR(B470="CONSUMO",B470="SAÍDA"),G470,0)</x:f>
        <x:v>0</x:v>
      </x:c>
      <x:c r="M470" s="53" t="n">
        <x:f>IF(C470="Farinheira",'Regras e Listas'!$D$4,IF(C470="Colorífico",'Regras e Listas'!$D$5,IF(C470="Farinha para o Flotamil",'Regras e Listas'!$D$6,0)))</x:f>
        <x:v>0</x:v>
      </x:c>
      <x:c r="N470" s="53" t="n">
        <x:f>K470*M470</x:f>
        <x:v>0</x:v>
      </x:c>
      <x:c r="O470" s="53" t="n">
        <x:f>L470*M470</x:f>
        <x:v>0</x:v>
      </x:c>
      <x:c r="P470" t="str">
        <x:f>IF(OR(B470="CONSUMO",B470="SAÍDA"),IF(ISNUMBER(SEARCH("não seguiu FIFO",I470)),"NÃO CONFORME",IF(ISNUMBER(SEARCH("FIFO automático",I470)),"CONFORME","VERIFICAR")),"")</x:f>
      </x:c>
    </x:row>
    <x:row r="471">
      <x:c r="A471" s="52"/>
      <x:c r="G471" s="53"/>
      <x:c r="K471" s="53" t="n">
        <x:f>IF(B471="ENTRADA",G471,0)</x:f>
        <x:v>0</x:v>
      </x:c>
      <x:c r="L471" s="53" t="n">
        <x:f>IF(OR(B471="CONSUMO",B471="SAÍDA"),G471,0)</x:f>
        <x:v>0</x:v>
      </x:c>
      <x:c r="M471" s="53" t="n">
        <x:f>IF(C471="Farinheira",'Regras e Listas'!$D$4,IF(C471="Colorífico",'Regras e Listas'!$D$5,IF(C471="Farinha para o Flotamil",'Regras e Listas'!$D$6,0)))</x:f>
        <x:v>0</x:v>
      </x:c>
      <x:c r="N471" s="53" t="n">
        <x:f>K471*M471</x:f>
        <x:v>0</x:v>
      </x:c>
      <x:c r="O471" s="53" t="n">
        <x:f>L471*M471</x:f>
        <x:v>0</x:v>
      </x:c>
      <x:c r="P471" t="str">
        <x:f>IF(OR(B471="CONSUMO",B471="SAÍDA"),IF(ISNUMBER(SEARCH("não seguiu FIFO",I471)),"NÃO CONFORME",IF(ISNUMBER(SEARCH("FIFO automático",I471)),"CONFORME","VERIFICAR")),"")</x:f>
      </x:c>
    </x:row>
    <x:row r="472">
      <x:c r="A472" s="52"/>
      <x:c r="G472" s="53"/>
      <x:c r="K472" s="53" t="n">
        <x:f>IF(B472="ENTRADA",G472,0)</x:f>
        <x:v>0</x:v>
      </x:c>
      <x:c r="L472" s="53" t="n">
        <x:f>IF(OR(B472="CONSUMO",B472="SAÍDA"),G472,0)</x:f>
        <x:v>0</x:v>
      </x:c>
      <x:c r="M472" s="53" t="n">
        <x:f>IF(C472="Farinheira",'Regras e Listas'!$D$4,IF(C472="Colorífico",'Regras e Listas'!$D$5,IF(C472="Farinha para o Flotamil",'Regras e Listas'!$D$6,0)))</x:f>
        <x:v>0</x:v>
      </x:c>
      <x:c r="N472" s="53" t="n">
        <x:f>K472*M472</x:f>
        <x:v>0</x:v>
      </x:c>
      <x:c r="O472" s="53" t="n">
        <x:f>L472*M472</x:f>
        <x:v>0</x:v>
      </x:c>
      <x:c r="P472" t="str">
        <x:f>IF(OR(B472="CONSUMO",B472="SAÍDA"),IF(ISNUMBER(SEARCH("não seguiu FIFO",I472)),"NÃO CONFORME",IF(ISNUMBER(SEARCH("FIFO automático",I472)),"CONFORME","VERIFICAR")),"")</x:f>
      </x:c>
    </x:row>
    <x:row r="473">
      <x:c r="A473" s="52"/>
      <x:c r="G473" s="53"/>
      <x:c r="K473" s="53" t="n">
        <x:f>IF(B473="ENTRADA",G473,0)</x:f>
        <x:v>0</x:v>
      </x:c>
      <x:c r="L473" s="53" t="n">
        <x:f>IF(OR(B473="CONSUMO",B473="SAÍDA"),G473,0)</x:f>
        <x:v>0</x:v>
      </x:c>
      <x:c r="M473" s="53" t="n">
        <x:f>IF(C473="Farinheira",'Regras e Listas'!$D$4,IF(C473="Colorífico",'Regras e Listas'!$D$5,IF(C473="Farinha para o Flotamil",'Regras e Listas'!$D$6,0)))</x:f>
        <x:v>0</x:v>
      </x:c>
      <x:c r="N473" s="53" t="n">
        <x:f>K473*M473</x:f>
        <x:v>0</x:v>
      </x:c>
      <x:c r="O473" s="53" t="n">
        <x:f>L473*M473</x:f>
        <x:v>0</x:v>
      </x:c>
      <x:c r="P473" t="str">
        <x:f>IF(OR(B473="CONSUMO",B473="SAÍDA"),IF(ISNUMBER(SEARCH("não seguiu FIFO",I473)),"NÃO CONFORME",IF(ISNUMBER(SEARCH("FIFO automático",I473)),"CONFORME","VERIFICAR")),"")</x:f>
      </x:c>
    </x:row>
    <x:row r="474">
      <x:c r="A474" s="52"/>
      <x:c r="G474" s="53"/>
      <x:c r="K474" s="53" t="n">
        <x:f>IF(B474="ENTRADA",G474,0)</x:f>
        <x:v>0</x:v>
      </x:c>
      <x:c r="L474" s="53" t="n">
        <x:f>IF(OR(B474="CONSUMO",B474="SAÍDA"),G474,0)</x:f>
        <x:v>0</x:v>
      </x:c>
      <x:c r="M474" s="53" t="n">
        <x:f>IF(C474="Farinheira",'Regras e Listas'!$D$4,IF(C474="Colorífico",'Regras e Listas'!$D$5,IF(C474="Farinha para o Flotamil",'Regras e Listas'!$D$6,0)))</x:f>
        <x:v>0</x:v>
      </x:c>
      <x:c r="N474" s="53" t="n">
        <x:f>K474*M474</x:f>
        <x:v>0</x:v>
      </x:c>
      <x:c r="O474" s="53" t="n">
        <x:f>L474*M474</x:f>
        <x:v>0</x:v>
      </x:c>
      <x:c r="P474" t="str">
        <x:f>IF(OR(B474="CONSUMO",B474="SAÍDA"),IF(ISNUMBER(SEARCH("não seguiu FIFO",I474)),"NÃO CONFORME",IF(ISNUMBER(SEARCH("FIFO automático",I474)),"CONFORME","VERIFICAR")),"")</x:f>
      </x:c>
    </x:row>
    <x:row r="475">
      <x:c r="A475" s="52"/>
      <x:c r="G475" s="53"/>
      <x:c r="K475" s="53" t="n">
        <x:f>IF(B475="ENTRADA",G475,0)</x:f>
        <x:v>0</x:v>
      </x:c>
      <x:c r="L475" s="53" t="n">
        <x:f>IF(OR(B475="CONSUMO",B475="SAÍDA"),G475,0)</x:f>
        <x:v>0</x:v>
      </x:c>
      <x:c r="M475" s="53" t="n">
        <x:f>IF(C475="Farinheira",'Regras e Listas'!$D$4,IF(C475="Colorífico",'Regras e Listas'!$D$5,IF(C475="Farinha para o Flotamil",'Regras e Listas'!$D$6,0)))</x:f>
        <x:v>0</x:v>
      </x:c>
      <x:c r="N475" s="53" t="n">
        <x:f>K475*M475</x:f>
        <x:v>0</x:v>
      </x:c>
      <x:c r="O475" s="53" t="n">
        <x:f>L475*M475</x:f>
        <x:v>0</x:v>
      </x:c>
      <x:c r="P475" t="str">
        <x:f>IF(OR(B475="CONSUMO",B475="SAÍDA"),IF(ISNUMBER(SEARCH("não seguiu FIFO",I475)),"NÃO CONFORME",IF(ISNUMBER(SEARCH("FIFO automático",I475)),"CONFORME","VERIFICAR")),"")</x:f>
      </x:c>
    </x:row>
    <x:row r="476">
      <x:c r="A476" s="52"/>
      <x:c r="G476" s="53"/>
      <x:c r="K476" s="53" t="n">
        <x:f>IF(B476="ENTRADA",G476,0)</x:f>
        <x:v>0</x:v>
      </x:c>
      <x:c r="L476" s="53" t="n">
        <x:f>IF(OR(B476="CONSUMO",B476="SAÍDA"),G476,0)</x:f>
        <x:v>0</x:v>
      </x:c>
      <x:c r="M476" s="53" t="n">
        <x:f>IF(C476="Farinheira",'Regras e Listas'!$D$4,IF(C476="Colorífico",'Regras e Listas'!$D$5,IF(C476="Farinha para o Flotamil",'Regras e Listas'!$D$6,0)))</x:f>
        <x:v>0</x:v>
      </x:c>
      <x:c r="N476" s="53" t="n">
        <x:f>K476*M476</x:f>
        <x:v>0</x:v>
      </x:c>
      <x:c r="O476" s="53" t="n">
        <x:f>L476*M476</x:f>
        <x:v>0</x:v>
      </x:c>
      <x:c r="P476" t="str">
        <x:f>IF(OR(B476="CONSUMO",B476="SAÍDA"),IF(ISNUMBER(SEARCH("não seguiu FIFO",I476)),"NÃO CONFORME",IF(ISNUMBER(SEARCH("FIFO automático",I476)),"CONFORME","VERIFICAR")),"")</x:f>
      </x:c>
    </x:row>
    <x:row r="477">
      <x:c r="A477" s="52"/>
      <x:c r="G477" s="53"/>
      <x:c r="K477" s="53" t="n">
        <x:f>IF(B477="ENTRADA",G477,0)</x:f>
        <x:v>0</x:v>
      </x:c>
      <x:c r="L477" s="53" t="n">
        <x:f>IF(OR(B477="CONSUMO",B477="SAÍDA"),G477,0)</x:f>
        <x:v>0</x:v>
      </x:c>
      <x:c r="M477" s="53" t="n">
        <x:f>IF(C477="Farinheira",'Regras e Listas'!$D$4,IF(C477="Colorífico",'Regras e Listas'!$D$5,IF(C477="Farinha para o Flotamil",'Regras e Listas'!$D$6,0)))</x:f>
        <x:v>0</x:v>
      </x:c>
      <x:c r="N477" s="53" t="n">
        <x:f>K477*M477</x:f>
        <x:v>0</x:v>
      </x:c>
      <x:c r="O477" s="53" t="n">
        <x:f>L477*M477</x:f>
        <x:v>0</x:v>
      </x:c>
      <x:c r="P477" t="str">
        <x:f>IF(OR(B477="CONSUMO",B477="SAÍDA"),IF(ISNUMBER(SEARCH("não seguiu FIFO",I477)),"NÃO CONFORME",IF(ISNUMBER(SEARCH("FIFO automático",I477)),"CONFORME","VERIFICAR")),"")</x:f>
      </x:c>
    </x:row>
    <x:row r="478">
      <x:c r="A478" s="52"/>
      <x:c r="G478" s="53"/>
      <x:c r="K478" s="53" t="n">
        <x:f>IF(B478="ENTRADA",G478,0)</x:f>
        <x:v>0</x:v>
      </x:c>
      <x:c r="L478" s="53" t="n">
        <x:f>IF(OR(B478="CONSUMO",B478="SAÍDA"),G478,0)</x:f>
        <x:v>0</x:v>
      </x:c>
      <x:c r="M478" s="53" t="n">
        <x:f>IF(C478="Farinheira",'Regras e Listas'!$D$4,IF(C478="Colorífico",'Regras e Listas'!$D$5,IF(C478="Farinha para o Flotamil",'Regras e Listas'!$D$6,0)))</x:f>
        <x:v>0</x:v>
      </x:c>
      <x:c r="N478" s="53" t="n">
        <x:f>K478*M478</x:f>
        <x:v>0</x:v>
      </x:c>
      <x:c r="O478" s="53" t="n">
        <x:f>L478*M478</x:f>
        <x:v>0</x:v>
      </x:c>
      <x:c r="P478" t="str">
        <x:f>IF(OR(B478="CONSUMO",B478="SAÍDA"),IF(ISNUMBER(SEARCH("não seguiu FIFO",I478)),"NÃO CONFORME",IF(ISNUMBER(SEARCH("FIFO automático",I478)),"CONFORME","VERIFICAR")),"")</x:f>
      </x:c>
    </x:row>
    <x:row r="479">
      <x:c r="A479" s="52"/>
      <x:c r="G479" s="53"/>
      <x:c r="K479" s="53" t="n">
        <x:f>IF(B479="ENTRADA",G479,0)</x:f>
        <x:v>0</x:v>
      </x:c>
      <x:c r="L479" s="53" t="n">
        <x:f>IF(OR(B479="CONSUMO",B479="SAÍDA"),G479,0)</x:f>
        <x:v>0</x:v>
      </x:c>
      <x:c r="M479" s="53" t="n">
        <x:f>IF(C479="Farinheira",'Regras e Listas'!$D$4,IF(C479="Colorífico",'Regras e Listas'!$D$5,IF(C479="Farinha para o Flotamil",'Regras e Listas'!$D$6,0)))</x:f>
        <x:v>0</x:v>
      </x:c>
      <x:c r="N479" s="53" t="n">
        <x:f>K479*M479</x:f>
        <x:v>0</x:v>
      </x:c>
      <x:c r="O479" s="53" t="n">
        <x:f>L479*M479</x:f>
        <x:v>0</x:v>
      </x:c>
      <x:c r="P479" t="str">
        <x:f>IF(OR(B479="CONSUMO",B479="SAÍDA"),IF(ISNUMBER(SEARCH("não seguiu FIFO",I479)),"NÃO CONFORME",IF(ISNUMBER(SEARCH("FIFO automático",I479)),"CONFORME","VERIFICAR")),"")</x:f>
      </x:c>
    </x:row>
    <x:row r="480">
      <x:c r="A480" s="52"/>
      <x:c r="G480" s="53"/>
      <x:c r="K480" s="53" t="n">
        <x:f>IF(B480="ENTRADA",G480,0)</x:f>
        <x:v>0</x:v>
      </x:c>
      <x:c r="L480" s="53" t="n">
        <x:f>IF(OR(B480="CONSUMO",B480="SAÍDA"),G480,0)</x:f>
        <x:v>0</x:v>
      </x:c>
      <x:c r="M480" s="53" t="n">
        <x:f>IF(C480="Farinheira",'Regras e Listas'!$D$4,IF(C480="Colorífico",'Regras e Listas'!$D$5,IF(C480="Farinha para o Flotamil",'Regras e Listas'!$D$6,0)))</x:f>
        <x:v>0</x:v>
      </x:c>
      <x:c r="N480" s="53" t="n">
        <x:f>K480*M480</x:f>
        <x:v>0</x:v>
      </x:c>
      <x:c r="O480" s="53" t="n">
        <x:f>L480*M480</x:f>
        <x:v>0</x:v>
      </x:c>
      <x:c r="P480" t="str">
        <x:f>IF(OR(B480="CONSUMO",B480="SAÍDA"),IF(ISNUMBER(SEARCH("não seguiu FIFO",I480)),"NÃO CONFORME",IF(ISNUMBER(SEARCH("FIFO automático",I480)),"CONFORME","VERIFICAR")),"")</x:f>
      </x:c>
    </x:row>
    <x:row r="481">
      <x:c r="A481" s="52"/>
      <x:c r="G481" s="53"/>
      <x:c r="K481" s="53" t="n">
        <x:f>IF(B481="ENTRADA",G481,0)</x:f>
        <x:v>0</x:v>
      </x:c>
      <x:c r="L481" s="53" t="n">
        <x:f>IF(OR(B481="CONSUMO",B481="SAÍDA"),G481,0)</x:f>
        <x:v>0</x:v>
      </x:c>
      <x:c r="M481" s="53" t="n">
        <x:f>IF(C481="Farinheira",'Regras e Listas'!$D$4,IF(C481="Colorífico",'Regras e Listas'!$D$5,IF(C481="Farinha para o Flotamil",'Regras e Listas'!$D$6,0)))</x:f>
        <x:v>0</x:v>
      </x:c>
      <x:c r="N481" s="53" t="n">
        <x:f>K481*M481</x:f>
        <x:v>0</x:v>
      </x:c>
      <x:c r="O481" s="53" t="n">
        <x:f>L481*M481</x:f>
        <x:v>0</x:v>
      </x:c>
      <x:c r="P481" t="str">
        <x:f>IF(OR(B481="CONSUMO",B481="SAÍDA"),IF(ISNUMBER(SEARCH("não seguiu FIFO",I481)),"NÃO CONFORME",IF(ISNUMBER(SEARCH("FIFO automático",I481)),"CONFORME","VERIFICAR")),"")</x:f>
      </x:c>
    </x:row>
    <x:row r="482">
      <x:c r="A482" s="52"/>
      <x:c r="G482" s="53"/>
      <x:c r="K482" s="53" t="n">
        <x:f>IF(B482="ENTRADA",G482,0)</x:f>
        <x:v>0</x:v>
      </x:c>
      <x:c r="L482" s="53" t="n">
        <x:f>IF(OR(B482="CONSUMO",B482="SAÍDA"),G482,0)</x:f>
        <x:v>0</x:v>
      </x:c>
      <x:c r="M482" s="53" t="n">
        <x:f>IF(C482="Farinheira",'Regras e Listas'!$D$4,IF(C482="Colorífico",'Regras e Listas'!$D$5,IF(C482="Farinha para o Flotamil",'Regras e Listas'!$D$6,0)))</x:f>
        <x:v>0</x:v>
      </x:c>
      <x:c r="N482" s="53" t="n">
        <x:f>K482*M482</x:f>
        <x:v>0</x:v>
      </x:c>
      <x:c r="O482" s="53" t="n">
        <x:f>L482*M482</x:f>
        <x:v>0</x:v>
      </x:c>
      <x:c r="P482" t="str">
        <x:f>IF(OR(B482="CONSUMO",B482="SAÍDA"),IF(ISNUMBER(SEARCH("não seguiu FIFO",I482)),"NÃO CONFORME",IF(ISNUMBER(SEARCH("FIFO automático",I482)),"CONFORME","VERIFICAR")),"")</x:f>
      </x:c>
    </x:row>
    <x:row r="483">
      <x:c r="A483" s="52"/>
      <x:c r="G483" s="53"/>
      <x:c r="K483" s="53" t="n">
        <x:f>IF(B483="ENTRADA",G483,0)</x:f>
        <x:v>0</x:v>
      </x:c>
      <x:c r="L483" s="53" t="n">
        <x:f>IF(OR(B483="CONSUMO",B483="SAÍDA"),G483,0)</x:f>
        <x:v>0</x:v>
      </x:c>
      <x:c r="M483" s="53" t="n">
        <x:f>IF(C483="Farinheira",'Regras e Listas'!$D$4,IF(C483="Colorífico",'Regras e Listas'!$D$5,IF(C483="Farinha para o Flotamil",'Regras e Listas'!$D$6,0)))</x:f>
        <x:v>0</x:v>
      </x:c>
      <x:c r="N483" s="53" t="n">
        <x:f>K483*M483</x:f>
        <x:v>0</x:v>
      </x:c>
      <x:c r="O483" s="53" t="n">
        <x:f>L483*M483</x:f>
        <x:v>0</x:v>
      </x:c>
      <x:c r="P483" t="str">
        <x:f>IF(OR(B483="CONSUMO",B483="SAÍDA"),IF(ISNUMBER(SEARCH("não seguiu FIFO",I483)),"NÃO CONFORME",IF(ISNUMBER(SEARCH("FIFO automático",I483)),"CONFORME","VERIFICAR")),"")</x:f>
      </x:c>
    </x:row>
    <x:row r="484">
      <x:c r="A484" s="52"/>
      <x:c r="G484" s="53"/>
      <x:c r="K484" s="53" t="n">
        <x:f>IF(B484="ENTRADA",G484,0)</x:f>
        <x:v>0</x:v>
      </x:c>
      <x:c r="L484" s="53" t="n">
        <x:f>IF(OR(B484="CONSUMO",B484="SAÍDA"),G484,0)</x:f>
        <x:v>0</x:v>
      </x:c>
      <x:c r="M484" s="53" t="n">
        <x:f>IF(C484="Farinheira",'Regras e Listas'!$D$4,IF(C484="Colorífico",'Regras e Listas'!$D$5,IF(C484="Farinha para o Flotamil",'Regras e Listas'!$D$6,0)))</x:f>
        <x:v>0</x:v>
      </x:c>
      <x:c r="N484" s="53" t="n">
        <x:f>K484*M484</x:f>
        <x:v>0</x:v>
      </x:c>
      <x:c r="O484" s="53" t="n">
        <x:f>L484*M484</x:f>
        <x:v>0</x:v>
      </x:c>
      <x:c r="P484" t="str">
        <x:f>IF(OR(B484="CONSUMO",B484="SAÍDA"),IF(ISNUMBER(SEARCH("não seguiu FIFO",I484)),"NÃO CONFORME",IF(ISNUMBER(SEARCH("FIFO automático",I484)),"CONFORME","VERIFICAR")),"")</x:f>
      </x:c>
    </x:row>
    <x:row r="485">
      <x:c r="A485" s="52"/>
      <x:c r="G485" s="53"/>
      <x:c r="K485" s="53" t="n">
        <x:f>IF(B485="ENTRADA",G485,0)</x:f>
        <x:v>0</x:v>
      </x:c>
      <x:c r="L485" s="53" t="n">
        <x:f>IF(OR(B485="CONSUMO",B485="SAÍDA"),G485,0)</x:f>
        <x:v>0</x:v>
      </x:c>
      <x:c r="M485" s="53" t="n">
        <x:f>IF(C485="Farinheira",'Regras e Listas'!$D$4,IF(C485="Colorífico",'Regras e Listas'!$D$5,IF(C485="Farinha para o Flotamil",'Regras e Listas'!$D$6,0)))</x:f>
        <x:v>0</x:v>
      </x:c>
      <x:c r="N485" s="53" t="n">
        <x:f>K485*M485</x:f>
        <x:v>0</x:v>
      </x:c>
      <x:c r="O485" s="53" t="n">
        <x:f>L485*M485</x:f>
        <x:v>0</x:v>
      </x:c>
      <x:c r="P485" t="str">
        <x:f>IF(OR(B485="CONSUMO",B485="SAÍDA"),IF(ISNUMBER(SEARCH("não seguiu FIFO",I485)),"NÃO CONFORME",IF(ISNUMBER(SEARCH("FIFO automático",I485)),"CONFORME","VERIFICAR")),"")</x:f>
      </x:c>
    </x:row>
    <x:row r="486">
      <x:c r="A486" s="52"/>
      <x:c r="G486" s="53"/>
      <x:c r="K486" s="53" t="n">
        <x:f>IF(B486="ENTRADA",G486,0)</x:f>
        <x:v>0</x:v>
      </x:c>
      <x:c r="L486" s="53" t="n">
        <x:f>IF(OR(B486="CONSUMO",B486="SAÍDA"),G486,0)</x:f>
        <x:v>0</x:v>
      </x:c>
      <x:c r="M486" s="53" t="n">
        <x:f>IF(C486="Farinheira",'Regras e Listas'!$D$4,IF(C486="Colorífico",'Regras e Listas'!$D$5,IF(C486="Farinha para o Flotamil",'Regras e Listas'!$D$6,0)))</x:f>
        <x:v>0</x:v>
      </x:c>
      <x:c r="N486" s="53" t="n">
        <x:f>K486*M486</x:f>
        <x:v>0</x:v>
      </x:c>
      <x:c r="O486" s="53" t="n">
        <x:f>L486*M486</x:f>
        <x:v>0</x:v>
      </x:c>
      <x:c r="P486" t="str">
        <x:f>IF(OR(B486="CONSUMO",B486="SAÍDA"),IF(ISNUMBER(SEARCH("não seguiu FIFO",I486)),"NÃO CONFORME",IF(ISNUMBER(SEARCH("FIFO automático",I486)),"CONFORME","VERIFICAR")),"")</x:f>
      </x:c>
    </x:row>
    <x:row r="487">
      <x:c r="A487" s="52"/>
      <x:c r="G487" s="53"/>
      <x:c r="K487" s="53" t="n">
        <x:f>IF(B487="ENTRADA",G487,0)</x:f>
        <x:v>0</x:v>
      </x:c>
      <x:c r="L487" s="53" t="n">
        <x:f>IF(OR(B487="CONSUMO",B487="SAÍDA"),G487,0)</x:f>
        <x:v>0</x:v>
      </x:c>
      <x:c r="M487" s="53" t="n">
        <x:f>IF(C487="Farinheira",'Regras e Listas'!$D$4,IF(C487="Colorífico",'Regras e Listas'!$D$5,IF(C487="Farinha para o Flotamil",'Regras e Listas'!$D$6,0)))</x:f>
        <x:v>0</x:v>
      </x:c>
      <x:c r="N487" s="53" t="n">
        <x:f>K487*M487</x:f>
        <x:v>0</x:v>
      </x:c>
      <x:c r="O487" s="53" t="n">
        <x:f>L487*M487</x:f>
        <x:v>0</x:v>
      </x:c>
      <x:c r="P487" t="str">
        <x:f>IF(OR(B487="CONSUMO",B487="SAÍDA"),IF(ISNUMBER(SEARCH("não seguiu FIFO",I487)),"NÃO CONFORME",IF(ISNUMBER(SEARCH("FIFO automático",I487)),"CONFORME","VERIFICAR")),"")</x:f>
      </x:c>
    </x:row>
    <x:row r="488">
      <x:c r="A488" s="52"/>
      <x:c r="G488" s="53"/>
      <x:c r="K488" s="53" t="n">
        <x:f>IF(B488="ENTRADA",G488,0)</x:f>
        <x:v>0</x:v>
      </x:c>
      <x:c r="L488" s="53" t="n">
        <x:f>IF(OR(B488="CONSUMO",B488="SAÍDA"),G488,0)</x:f>
        <x:v>0</x:v>
      </x:c>
      <x:c r="M488" s="53" t="n">
        <x:f>IF(C488="Farinheira",'Regras e Listas'!$D$4,IF(C488="Colorífico",'Regras e Listas'!$D$5,IF(C488="Farinha para o Flotamil",'Regras e Listas'!$D$6,0)))</x:f>
        <x:v>0</x:v>
      </x:c>
      <x:c r="N488" s="53" t="n">
        <x:f>K488*M488</x:f>
        <x:v>0</x:v>
      </x:c>
      <x:c r="O488" s="53" t="n">
        <x:f>L488*M488</x:f>
        <x:v>0</x:v>
      </x:c>
      <x:c r="P488" t="str">
        <x:f>IF(OR(B488="CONSUMO",B488="SAÍDA"),IF(ISNUMBER(SEARCH("não seguiu FIFO",I488)),"NÃO CONFORME",IF(ISNUMBER(SEARCH("FIFO automático",I488)),"CONFORME","VERIFICAR")),"")</x:f>
      </x:c>
    </x:row>
    <x:row r="489">
      <x:c r="A489" s="52"/>
      <x:c r="G489" s="53"/>
      <x:c r="K489" s="53" t="n">
        <x:f>IF(B489="ENTRADA",G489,0)</x:f>
        <x:v>0</x:v>
      </x:c>
      <x:c r="L489" s="53" t="n">
        <x:f>IF(OR(B489="CONSUMO",B489="SAÍDA"),G489,0)</x:f>
        <x:v>0</x:v>
      </x:c>
      <x:c r="M489" s="53" t="n">
        <x:f>IF(C489="Farinheira",'Regras e Listas'!$D$4,IF(C489="Colorífico",'Regras e Listas'!$D$5,IF(C489="Farinha para o Flotamil",'Regras e Listas'!$D$6,0)))</x:f>
        <x:v>0</x:v>
      </x:c>
      <x:c r="N489" s="53" t="n">
        <x:f>K489*M489</x:f>
        <x:v>0</x:v>
      </x:c>
      <x:c r="O489" s="53" t="n">
        <x:f>L489*M489</x:f>
        <x:v>0</x:v>
      </x:c>
      <x:c r="P489" t="str">
        <x:f>IF(OR(B489="CONSUMO",B489="SAÍDA"),IF(ISNUMBER(SEARCH("não seguiu FIFO",I489)),"NÃO CONFORME",IF(ISNUMBER(SEARCH("FIFO automático",I489)),"CONFORME","VERIFICAR")),"")</x:f>
      </x:c>
    </x:row>
    <x:row r="490">
      <x:c r="A490" s="52"/>
      <x:c r="G490" s="53"/>
      <x:c r="K490" s="53" t="n">
        <x:f>IF(B490="ENTRADA",G490,0)</x:f>
        <x:v>0</x:v>
      </x:c>
      <x:c r="L490" s="53" t="n">
        <x:f>IF(OR(B490="CONSUMO",B490="SAÍDA"),G490,0)</x:f>
        <x:v>0</x:v>
      </x:c>
      <x:c r="M490" s="53" t="n">
        <x:f>IF(C490="Farinheira",'Regras e Listas'!$D$4,IF(C490="Colorífico",'Regras e Listas'!$D$5,IF(C490="Farinha para o Flotamil",'Regras e Listas'!$D$6,0)))</x:f>
        <x:v>0</x:v>
      </x:c>
      <x:c r="N490" s="53" t="n">
        <x:f>K490*M490</x:f>
        <x:v>0</x:v>
      </x:c>
      <x:c r="O490" s="53" t="n">
        <x:f>L490*M490</x:f>
        <x:v>0</x:v>
      </x:c>
      <x:c r="P490" t="str">
        <x:f>IF(OR(B490="CONSUMO",B490="SAÍDA"),IF(ISNUMBER(SEARCH("não seguiu FIFO",I490)),"NÃO CONFORME",IF(ISNUMBER(SEARCH("FIFO automático",I490)),"CONFORME","VERIFICAR")),"")</x:f>
      </x:c>
    </x:row>
    <x:row r="491">
      <x:c r="A491" s="52"/>
      <x:c r="G491" s="53"/>
      <x:c r="K491" s="53" t="n">
        <x:f>IF(B491="ENTRADA",G491,0)</x:f>
        <x:v>0</x:v>
      </x:c>
      <x:c r="L491" s="53" t="n">
        <x:f>IF(OR(B491="CONSUMO",B491="SAÍDA"),G491,0)</x:f>
        <x:v>0</x:v>
      </x:c>
      <x:c r="M491" s="53" t="n">
        <x:f>IF(C491="Farinheira",'Regras e Listas'!$D$4,IF(C491="Colorífico",'Regras e Listas'!$D$5,IF(C491="Farinha para o Flotamil",'Regras e Listas'!$D$6,0)))</x:f>
        <x:v>0</x:v>
      </x:c>
      <x:c r="N491" s="53" t="n">
        <x:f>K491*M491</x:f>
        <x:v>0</x:v>
      </x:c>
      <x:c r="O491" s="53" t="n">
        <x:f>L491*M491</x:f>
        <x:v>0</x:v>
      </x:c>
      <x:c r="P491" t="str">
        <x:f>IF(OR(B491="CONSUMO",B491="SAÍDA"),IF(ISNUMBER(SEARCH("não seguiu FIFO",I491)),"NÃO CONFORME",IF(ISNUMBER(SEARCH("FIFO automático",I491)),"CONFORME","VERIFICAR")),"")</x:f>
      </x:c>
    </x:row>
    <x:row r="492">
      <x:c r="A492" s="52"/>
      <x:c r="G492" s="53"/>
      <x:c r="K492" s="53" t="n">
        <x:f>IF(B492="ENTRADA",G492,0)</x:f>
        <x:v>0</x:v>
      </x:c>
      <x:c r="L492" s="53" t="n">
        <x:f>IF(OR(B492="CONSUMO",B492="SAÍDA"),G492,0)</x:f>
        <x:v>0</x:v>
      </x:c>
      <x:c r="M492" s="53" t="n">
        <x:f>IF(C492="Farinheira",'Regras e Listas'!$D$4,IF(C492="Colorífico",'Regras e Listas'!$D$5,IF(C492="Farinha para o Flotamil",'Regras e Listas'!$D$6,0)))</x:f>
        <x:v>0</x:v>
      </x:c>
      <x:c r="N492" s="53" t="n">
        <x:f>K492*M492</x:f>
        <x:v>0</x:v>
      </x:c>
      <x:c r="O492" s="53" t="n">
        <x:f>L492*M492</x:f>
        <x:v>0</x:v>
      </x:c>
      <x:c r="P492" t="str">
        <x:f>IF(OR(B492="CONSUMO",B492="SAÍDA"),IF(ISNUMBER(SEARCH("não seguiu FIFO",I492)),"NÃO CONFORME",IF(ISNUMBER(SEARCH("FIFO automático",I492)),"CONFORME","VERIFICAR")),"")</x:f>
      </x:c>
    </x:row>
    <x:row r="493">
      <x:c r="A493" s="52"/>
      <x:c r="G493" s="53"/>
      <x:c r="K493" s="53" t="n">
        <x:f>IF(B493="ENTRADA",G493,0)</x:f>
        <x:v>0</x:v>
      </x:c>
      <x:c r="L493" s="53" t="n">
        <x:f>IF(OR(B493="CONSUMO",B493="SAÍDA"),G493,0)</x:f>
        <x:v>0</x:v>
      </x:c>
      <x:c r="M493" s="53" t="n">
        <x:f>IF(C493="Farinheira",'Regras e Listas'!$D$4,IF(C493="Colorífico",'Regras e Listas'!$D$5,IF(C493="Farinha para o Flotamil",'Regras e Listas'!$D$6,0)))</x:f>
        <x:v>0</x:v>
      </x:c>
      <x:c r="N493" s="53" t="n">
        <x:f>K493*M493</x:f>
        <x:v>0</x:v>
      </x:c>
      <x:c r="O493" s="53" t="n">
        <x:f>L493*M493</x:f>
        <x:v>0</x:v>
      </x:c>
      <x:c r="P493" t="str">
        <x:f>IF(OR(B493="CONSUMO",B493="SAÍDA"),IF(ISNUMBER(SEARCH("não seguiu FIFO",I493)),"NÃO CONFORME",IF(ISNUMBER(SEARCH("FIFO automático",I493)),"CONFORME","VERIFICAR")),"")</x:f>
      </x:c>
    </x:row>
    <x:row r="494">
      <x:c r="A494" s="52"/>
      <x:c r="G494" s="53"/>
      <x:c r="K494" s="53" t="n">
        <x:f>IF(B494="ENTRADA",G494,0)</x:f>
        <x:v>0</x:v>
      </x:c>
      <x:c r="L494" s="53" t="n">
        <x:f>IF(OR(B494="CONSUMO",B494="SAÍDA"),G494,0)</x:f>
        <x:v>0</x:v>
      </x:c>
      <x:c r="M494" s="53" t="n">
        <x:f>IF(C494="Farinheira",'Regras e Listas'!$D$4,IF(C494="Colorífico",'Regras e Listas'!$D$5,IF(C494="Farinha para o Flotamil",'Regras e Listas'!$D$6,0)))</x:f>
        <x:v>0</x:v>
      </x:c>
      <x:c r="N494" s="53" t="n">
        <x:f>K494*M494</x:f>
        <x:v>0</x:v>
      </x:c>
      <x:c r="O494" s="53" t="n">
        <x:f>L494*M494</x:f>
        <x:v>0</x:v>
      </x:c>
      <x:c r="P494" t="str">
        <x:f>IF(OR(B494="CONSUMO",B494="SAÍDA"),IF(ISNUMBER(SEARCH("não seguiu FIFO",I494)),"NÃO CONFORME",IF(ISNUMBER(SEARCH("FIFO automático",I494)),"CONFORME","VERIFICAR")),"")</x:f>
      </x:c>
    </x:row>
    <x:row r="495">
      <x:c r="A495" s="52"/>
      <x:c r="G495" s="53"/>
      <x:c r="K495" s="53" t="n">
        <x:f>IF(B495="ENTRADA",G495,0)</x:f>
        <x:v>0</x:v>
      </x:c>
      <x:c r="L495" s="53" t="n">
        <x:f>IF(OR(B495="CONSUMO",B495="SAÍDA"),G495,0)</x:f>
        <x:v>0</x:v>
      </x:c>
      <x:c r="M495" s="53" t="n">
        <x:f>IF(C495="Farinheira",'Regras e Listas'!$D$4,IF(C495="Colorífico",'Regras e Listas'!$D$5,IF(C495="Farinha para o Flotamil",'Regras e Listas'!$D$6,0)))</x:f>
        <x:v>0</x:v>
      </x:c>
      <x:c r="N495" s="53" t="n">
        <x:f>K495*M495</x:f>
        <x:v>0</x:v>
      </x:c>
      <x:c r="O495" s="53" t="n">
        <x:f>L495*M495</x:f>
        <x:v>0</x:v>
      </x:c>
      <x:c r="P495" t="str">
        <x:f>IF(OR(B495="CONSUMO",B495="SAÍDA"),IF(ISNUMBER(SEARCH("não seguiu FIFO",I495)),"NÃO CONFORME",IF(ISNUMBER(SEARCH("FIFO automático",I495)),"CONFORME","VERIFICAR")),"")</x:f>
      </x:c>
    </x:row>
    <x:row r="496">
      <x:c r="A496" s="52"/>
      <x:c r="G496" s="53"/>
      <x:c r="K496" s="53" t="n">
        <x:f>IF(B496="ENTRADA",G496,0)</x:f>
        <x:v>0</x:v>
      </x:c>
      <x:c r="L496" s="53" t="n">
        <x:f>IF(OR(B496="CONSUMO",B496="SAÍDA"),G496,0)</x:f>
        <x:v>0</x:v>
      </x:c>
      <x:c r="M496" s="53" t="n">
        <x:f>IF(C496="Farinheira",'Regras e Listas'!$D$4,IF(C496="Colorífico",'Regras e Listas'!$D$5,IF(C496="Farinha para o Flotamil",'Regras e Listas'!$D$6,0)))</x:f>
        <x:v>0</x:v>
      </x:c>
      <x:c r="N496" s="53" t="n">
        <x:f>K496*M496</x:f>
        <x:v>0</x:v>
      </x:c>
      <x:c r="O496" s="53" t="n">
        <x:f>L496*M496</x:f>
        <x:v>0</x:v>
      </x:c>
      <x:c r="P496" t="str">
        <x:f>IF(OR(B496="CONSUMO",B496="SAÍDA"),IF(ISNUMBER(SEARCH("não seguiu FIFO",I496)),"NÃO CONFORME",IF(ISNUMBER(SEARCH("FIFO automático",I496)),"CONFORME","VERIFICAR")),"")</x:f>
      </x:c>
    </x:row>
    <x:row r="497">
      <x:c r="A497" s="52"/>
      <x:c r="G497" s="53"/>
      <x:c r="K497" s="53" t="n">
        <x:f>IF(B497="ENTRADA",G497,0)</x:f>
        <x:v>0</x:v>
      </x:c>
      <x:c r="L497" s="53" t="n">
        <x:f>IF(OR(B497="CONSUMO",B497="SAÍDA"),G497,0)</x:f>
        <x:v>0</x:v>
      </x:c>
      <x:c r="M497" s="53" t="n">
        <x:f>IF(C497="Farinheira",'Regras e Listas'!$D$4,IF(C497="Colorífico",'Regras e Listas'!$D$5,IF(C497="Farinha para o Flotamil",'Regras e Listas'!$D$6,0)))</x:f>
        <x:v>0</x:v>
      </x:c>
      <x:c r="N497" s="53" t="n">
        <x:f>K497*M497</x:f>
        <x:v>0</x:v>
      </x:c>
      <x:c r="O497" s="53" t="n">
        <x:f>L497*M497</x:f>
        <x:v>0</x:v>
      </x:c>
      <x:c r="P497" t="str">
        <x:f>IF(OR(B497="CONSUMO",B497="SAÍDA"),IF(ISNUMBER(SEARCH("não seguiu FIFO",I497)),"NÃO CONFORME",IF(ISNUMBER(SEARCH("FIFO automático",I497)),"CONFORME","VERIFICAR")),"")</x:f>
      </x:c>
    </x:row>
    <x:row r="498">
      <x:c r="A498" s="52"/>
      <x:c r="G498" s="53"/>
      <x:c r="K498" s="53" t="n">
        <x:f>IF(B498="ENTRADA",G498,0)</x:f>
        <x:v>0</x:v>
      </x:c>
      <x:c r="L498" s="53" t="n">
        <x:f>IF(OR(B498="CONSUMO",B498="SAÍDA"),G498,0)</x:f>
        <x:v>0</x:v>
      </x:c>
      <x:c r="M498" s="53" t="n">
        <x:f>IF(C498="Farinheira",'Regras e Listas'!$D$4,IF(C498="Colorífico",'Regras e Listas'!$D$5,IF(C498="Farinha para o Flotamil",'Regras e Listas'!$D$6,0)))</x:f>
        <x:v>0</x:v>
      </x:c>
      <x:c r="N498" s="53" t="n">
        <x:f>K498*M498</x:f>
        <x:v>0</x:v>
      </x:c>
      <x:c r="O498" s="53" t="n">
        <x:f>L498*M498</x:f>
        <x:v>0</x:v>
      </x:c>
      <x:c r="P498" t="str">
        <x:f>IF(OR(B498="CONSUMO",B498="SAÍDA"),IF(ISNUMBER(SEARCH("não seguiu FIFO",I498)),"NÃO CONFORME",IF(ISNUMBER(SEARCH("FIFO automático",I498)),"CONFORME","VERIFICAR")),"")</x:f>
      </x:c>
    </x:row>
    <x:row r="499">
      <x:c r="A499" s="52"/>
      <x:c r="G499" s="53"/>
      <x:c r="K499" s="53" t="n">
        <x:f>IF(B499="ENTRADA",G499,0)</x:f>
        <x:v>0</x:v>
      </x:c>
      <x:c r="L499" s="53" t="n">
        <x:f>IF(OR(B499="CONSUMO",B499="SAÍDA"),G499,0)</x:f>
        <x:v>0</x:v>
      </x:c>
      <x:c r="M499" s="53" t="n">
        <x:f>IF(C499="Farinheira",'Regras e Listas'!$D$4,IF(C499="Colorífico",'Regras e Listas'!$D$5,IF(C499="Farinha para o Flotamil",'Regras e Listas'!$D$6,0)))</x:f>
        <x:v>0</x:v>
      </x:c>
      <x:c r="N499" s="53" t="n">
        <x:f>K499*M499</x:f>
        <x:v>0</x:v>
      </x:c>
      <x:c r="O499" s="53" t="n">
        <x:f>L499*M499</x:f>
        <x:v>0</x:v>
      </x:c>
      <x:c r="P499" t="str">
        <x:f>IF(OR(B499="CONSUMO",B499="SAÍDA"),IF(ISNUMBER(SEARCH("não seguiu FIFO",I499)),"NÃO CONFORME",IF(ISNUMBER(SEARCH("FIFO automático",I499)),"CONFORME","VERIFICAR")),"")</x:f>
      </x:c>
    </x:row>
    <x:row r="500">
      <x:c r="A500" s="52"/>
      <x:c r="G500" s="53"/>
      <x:c r="K500" s="53" t="n">
        <x:f>IF(B500="ENTRADA",G500,0)</x:f>
        <x:v>0</x:v>
      </x:c>
      <x:c r="L500" s="53" t="n">
        <x:f>IF(OR(B500="CONSUMO",B500="SAÍDA"),G500,0)</x:f>
        <x:v>0</x:v>
      </x:c>
      <x:c r="M500" s="53" t="n">
        <x:f>IF(C500="Farinheira",'Regras e Listas'!$D$4,IF(C500="Colorífico",'Regras e Listas'!$D$5,IF(C500="Farinha para o Flotamil",'Regras e Listas'!$D$6,0)))</x:f>
        <x:v>0</x:v>
      </x:c>
      <x:c r="N500" s="53" t="n">
        <x:f>K500*M500</x:f>
        <x:v>0</x:v>
      </x:c>
      <x:c r="O500" s="53" t="n">
        <x:f>L500*M500</x:f>
        <x:v>0</x:v>
      </x:c>
      <x:c r="P500" t="str">
        <x:f>IF(OR(B500="CONSUMO",B500="SAÍDA"),IF(ISNUMBER(SEARCH("não seguiu FIFO",I500)),"NÃO CONFORME",IF(ISNUMBER(SEARCH("FIFO automático",I500)),"CONFORME","VERIFICAR")),"")</x:f>
      </x:c>
    </x:row>
    <x:row r="501">
      <x:c r="A501" s="52"/>
      <x:c r="G501" s="53"/>
      <x:c r="K501" s="53" t="n">
        <x:f>IF(B501="ENTRADA",G501,0)</x:f>
        <x:v>0</x:v>
      </x:c>
      <x:c r="L501" s="53" t="n">
        <x:f>IF(OR(B501="CONSUMO",B501="SAÍDA"),G501,0)</x:f>
        <x:v>0</x:v>
      </x:c>
      <x:c r="M501" s="53" t="n">
        <x:f>IF(C501="Farinheira",'Regras e Listas'!$D$4,IF(C501="Colorífico",'Regras e Listas'!$D$5,IF(C501="Farinha para o Flotamil",'Regras e Listas'!$D$6,0)))</x:f>
        <x:v>0</x:v>
      </x:c>
      <x:c r="N501" s="53" t="n">
        <x:f>K501*M501</x:f>
        <x:v>0</x:v>
      </x:c>
      <x:c r="O501" s="53" t="n">
        <x:f>L501*M501</x:f>
        <x:v>0</x:v>
      </x:c>
      <x:c r="P501" t="str">
        <x:f>IF(OR(B501="CONSUMO",B501="SAÍDA"),IF(ISNUMBER(SEARCH("não seguiu FIFO",I501)),"NÃO CONFORME",IF(ISNUMBER(SEARCH("FIFO automático",I501)),"CONFORME","VERIFICAR")),"")</x:f>
      </x:c>
    </x:row>
    <x:row r="502">
      <x:c r="A502" s="52"/>
      <x:c r="G502" s="53"/>
      <x:c r="K502" s="53" t="n">
        <x:f>IF(B502="ENTRADA",G502,0)</x:f>
        <x:v>0</x:v>
      </x:c>
      <x:c r="L502" s="53" t="n">
        <x:f>IF(OR(B502="CONSUMO",B502="SAÍDA"),G502,0)</x:f>
        <x:v>0</x:v>
      </x:c>
      <x:c r="M502" s="53" t="n">
        <x:f>IF(C502="Farinheira",'Regras e Listas'!$D$4,IF(C502="Colorífico",'Regras e Listas'!$D$5,IF(C502="Farinha para o Flotamil",'Regras e Listas'!$D$6,0)))</x:f>
        <x:v>0</x:v>
      </x:c>
      <x:c r="N502" s="53" t="n">
        <x:f>K502*M502</x:f>
        <x:v>0</x:v>
      </x:c>
      <x:c r="O502" s="53" t="n">
        <x:f>L502*M502</x:f>
        <x:v>0</x:v>
      </x:c>
      <x:c r="P502" t="str">
        <x:f>IF(OR(B502="CONSUMO",B502="SAÍDA"),IF(ISNUMBER(SEARCH("não seguiu FIFO",I502)),"NÃO CONFORME",IF(ISNUMBER(SEARCH("FIFO automático",I502)),"CONFORME","VERIFICAR")),"")</x:f>
      </x:c>
    </x:row>
    <x:row r="503">
      <x:c r="A503" s="52"/>
      <x:c r="G503" s="53"/>
      <x:c r="K503" s="53" t="n">
        <x:f>IF(B503="ENTRADA",G503,0)</x:f>
        <x:v>0</x:v>
      </x:c>
      <x:c r="L503" s="53" t="n">
        <x:f>IF(OR(B503="CONSUMO",B503="SAÍDA"),G503,0)</x:f>
        <x:v>0</x:v>
      </x:c>
      <x:c r="M503" s="53" t="n">
        <x:f>IF(C503="Farinheira",'Regras e Listas'!$D$4,IF(C503="Colorífico",'Regras e Listas'!$D$5,IF(C503="Farinha para o Flotamil",'Regras e Listas'!$D$6,0)))</x:f>
        <x:v>0</x:v>
      </x:c>
      <x:c r="N503" s="53" t="n">
        <x:f>K503*M503</x:f>
        <x:v>0</x:v>
      </x:c>
      <x:c r="O503" s="53" t="n">
        <x:f>L503*M503</x:f>
        <x:v>0</x:v>
      </x:c>
      <x:c r="P503" t="str">
        <x:f>IF(OR(B503="CONSUMO",B503="SAÍDA"),IF(ISNUMBER(SEARCH("não seguiu FIFO",I503)),"NÃO CONFORME",IF(ISNUMBER(SEARCH("FIFO automático",I503)),"CONFORME","VERIFICAR")),"")</x:f>
      </x:c>
    </x:row>
    <x:row r="504">
      <x:c r="A504" s="52"/>
      <x:c r="G504" s="53"/>
      <x:c r="K504" s="53" t="n">
        <x:f>IF(B504="ENTRADA",G504,0)</x:f>
        <x:v>0</x:v>
      </x:c>
      <x:c r="L504" s="53" t="n">
        <x:f>IF(OR(B504="CONSUMO",B504="SAÍDA"),G504,0)</x:f>
        <x:v>0</x:v>
      </x:c>
      <x:c r="M504" s="53" t="n">
        <x:f>IF(C504="Farinheira",'Regras e Listas'!$D$4,IF(C504="Colorífico",'Regras e Listas'!$D$5,IF(C504="Farinha para o Flotamil",'Regras e Listas'!$D$6,0)))</x:f>
        <x:v>0</x:v>
      </x:c>
      <x:c r="N504" s="53" t="n">
        <x:f>K504*M504</x:f>
        <x:v>0</x:v>
      </x:c>
      <x:c r="O504" s="53" t="n">
        <x:f>L504*M504</x:f>
        <x:v>0</x:v>
      </x:c>
      <x:c r="P504" t="str">
        <x:f>IF(OR(B504="CONSUMO",B504="SAÍDA"),IF(ISNUMBER(SEARCH("não seguiu FIFO",I504)),"NÃO CONFORME",IF(ISNUMBER(SEARCH("FIFO automático",I504)),"CONFORME","VERIFICAR")),"")</x:f>
      </x:c>
    </x:row>
  </x:sheetData>
  <x:mergeCells>
    <x:mergeCell ref="A1:P1"/>
    <x:mergeCell ref="A2:P2"/>
  </x:mergeCells>
  <x:conditionalFormatting sqref="P5:P504">
    <x:cfRule type="containsText" dxfId="0" priority="1" operator="containsText" text="NÃO CONFORME"/>
    <x:cfRule type="containsText" dxfId="1" priority="2" operator="containsText" text="CONFORME"/>
  </x:conditionalFormatting>
  <x:dataValidations count="3">
    <x:dataValidation type="list" sqref="B5:B504">
      <x:formula1>'Regras e Listas'!$I$4:$I$6</x:formula1>
    </x:dataValidation>
    <x:dataValidation type="list" sqref="C5:C504">
      <x:formula1>'Regras e Listas'!$A$4:$A$6</x:formula1>
    </x:dataValidation>
    <x:dataValidation type="list" sqref="J5:J504">
      <x:formula1>'Regras e Listas'!$H$4:$H$6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d198d1f2c946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23" hidden="0" customWidth="1"/>
    <x:col min="4" max="4" width="20" hidden="0" customWidth="1"/>
    <x:col min="5" max="5" width="15" hidden="0" customWidth="1"/>
    <x:col min="6" max="6" width="11" hidden="0" customWidth="1"/>
    <x:col min="7" max="7" width="11" hidden="0" customWidth="1"/>
    <x:col min="8" max="8" width="11" hidden="0" customWidth="1"/>
    <x:col min="9" max="9" width="14" hidden="0" customWidth="1"/>
    <x:col min="10" max="10" width="18" hidden="0" customWidth="1"/>
    <x:col min="11" max="11" width="23" hidden="0" customWidth="1"/>
  </x:cols>
  <x:sheetData>
    <x:row r="1" ht="30" customHeight="1">
      <x:c r="A1" s="3" t="str">
        <x:v>ESTOQUE ATUAL POR LOTE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5" t="str">
        <x:v>Novos lotes: informe Setor, Código, Produto e Lote nas linhas vazias; os demais campos serão calculados.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>
      <x:c r="A4" s="9" t="str">
        <x:v>Setor</x:v>
      </x:c>
      <x:c r="B4" s="9" t="str">
        <x:v>Código</x:v>
      </x:c>
      <x:c r="C4" s="9" t="str">
        <x:v>Produto / unidade</x:v>
      </x:c>
      <x:c r="D4" s="9" t="str">
        <x:v>Lote</x:v>
      </x:c>
      <x:c r="E4" s="9" t="str">
        <x:v>Primeira entrada</x:v>
      </x:c>
      <x:c r="F4" s="9" t="str">
        <x:v>Entradas</x:v>
      </x:c>
      <x:c r="G4" s="9" t="str">
        <x:v>Saídas</x:v>
      </x:c>
      <x:c r="H4" s="9" t="str">
        <x:v>Saldo</x:v>
      </x:c>
      <x:c r="I4" s="9" t="str">
        <x:v>Saldo (kg)</x:v>
      </x:c>
      <x:c r="J4" s="9" t="str">
        <x:v>Situação</x:v>
      </x:c>
      <x:c r="K4" s="9" t="str">
        <x:v>Alerta</x:v>
      </x:c>
    </x:row>
    <x:row r="5">
      <x:c r="A5" t="str">
        <x:v>Colorífico</x:v>
      </x:c>
      <x:c r="B5" t="str">
        <x:v>1436</x:v>
      </x:c>
      <x:c r="C5" t="str">
        <x:v>Big Bag 1.250 kg</x:v>
      </x:c>
      <x:c r="D5" t="str">
        <x:v>0145H26IT</x:v>
      </x:c>
      <x:c r="E5" s="52" t="n">
        <x:f>IF(D5="","",MINIFS('Movimentações'!$A$5:$A$504,'Movimentações'!$C$5:$C$504,A5,'Movimentações'!$F$5:$F$504,D5,'Movimentações'!$B$5:$B$504,"ENTRADA"))</x:f>
        <x:v>46247.708333333336</x:v>
      </x:c>
      <x:c r="F5" s="53" t="n">
        <x:f>IF(D5="","",SUMIFS('Movimentações'!$K$5:$K$504,'Movimentações'!$C$5:$C$504,A5,'Movimentações'!$F$5:$F$504,D5))</x:f>
        <x:v>30</x:v>
      </x:c>
      <x:c r="G5" s="53" t="n">
        <x:f>IF(D5="","",SUMIFS('Movimentações'!$L$5:$L$504,'Movimentações'!$C$5:$C$504,A5,'Movimentações'!$F$5:$F$504,D5))</x:f>
        <x:v>7</x:v>
      </x:c>
      <x:c r="H5" s="53" t="n">
        <x:f>IF(D5="","",F5-G5)</x:f>
        <x:v>23</x:v>
      </x:c>
      <x:c r="I5" s="53" t="n">
        <x:f>IF(D5="","",SUMIFS('Movimentações'!$N$5:$N$504,'Movimentações'!$C$5:$C$504,A5,'Movimentações'!$F$5:$F$504,D5)-SUMIFS('Movimentações'!$O$5:$O$504,'Movimentações'!$C$5:$C$504,A5,'Movimentações'!$F$5:$F$504,D5))</x:f>
        <x:v>28750</x:v>
      </x:c>
      <x:c r="J5" t="str">
        <x:f>IF(D5="","",IF(H5&lt;0,"SALDO NEGATIVO",IF(H5=0,"ESGOTADO","DISPONÍVEL")))</x:f>
        <x:v>DISPONÍVEL</x:v>
      </x:c>
      <x:c r="K5" t="str">
        <x:f>IF(D5="","",IF(H5&lt;0,"REVISAR MOVIMENTAÇÕES",IF(H5&lt;=2,"ESTOQUE BAIXO","OK")))</x:f>
        <x:v>OK</x:v>
      </x:c>
    </x:row>
    <x:row r="6">
      <x:c r="A6" t="str">
        <x:v>Colorífico</x:v>
      </x:c>
      <x:c r="B6" t="str">
        <x:v>1436</x:v>
      </x:c>
      <x:c r="C6" t="str">
        <x:v>Big Bag 1.250 kg</x:v>
      </x:c>
      <x:c r="D6" t="str">
        <x:v>0231H26IT</x:v>
      </x:c>
      <x:c r="E6" s="52" t="n">
        <x:f>IF(D6="","",MINIFS('Movimentações'!$A$5:$A$504,'Movimentações'!$C$5:$C$504,A6,'Movimentações'!$F$5:$F$504,D6,'Movimentações'!$B$5:$B$504,"ENTRADA"))</x:f>
        <x:v>46254.708333333336</x:v>
      </x:c>
      <x:c r="F6" s="53" t="n">
        <x:f>IF(D6="","",SUMIFS('Movimentações'!$K$5:$K$504,'Movimentações'!$C$5:$C$504,A6,'Movimentações'!$F$5:$F$504,D6))</x:f>
        <x:v>6</x:v>
      </x:c>
      <x:c r="G6" s="53" t="n">
        <x:f>IF(D6="","",SUMIFS('Movimentações'!$L$5:$L$504,'Movimentações'!$C$5:$C$504,A6,'Movimentações'!$F$5:$F$504,D6))</x:f>
        <x:v>0</x:v>
      </x:c>
      <x:c r="H6" s="53" t="n">
        <x:f>IF(D6="","",F6-G6)</x:f>
        <x:v>6</x:v>
      </x:c>
      <x:c r="I6" s="53" t="n">
        <x:f>IF(D6="","",SUMIFS('Movimentações'!$N$5:$N$504,'Movimentações'!$C$5:$C$504,A6,'Movimentações'!$F$5:$F$504,D6)-SUMIFS('Movimentações'!$O$5:$O$504,'Movimentações'!$C$5:$C$504,A6,'Movimentações'!$F$5:$F$504,D6))</x:f>
        <x:v>7500</x:v>
      </x:c>
      <x:c r="J6" t="str">
        <x:f>IF(D6="","",IF(H6&lt;0,"SALDO NEGATIVO",IF(H6=0,"ESGOTADO","DISPONÍVEL")))</x:f>
        <x:v>DISPONÍVEL</x:v>
      </x:c>
      <x:c r="K6" t="str">
        <x:f>IF(D6="","",IF(H6&lt;0,"REVISAR MOVIMENTAÇÕES",IF(H6&lt;=2,"ESTOQUE BAIXO","OK")))</x:f>
        <x:v>OK</x:v>
      </x:c>
    </x:row>
    <x:row r="7">
      <x:c r="A7" t="str">
        <x:v>Colorífico</x:v>
      </x:c>
      <x:c r="B7" t="str">
        <x:v>1436</x:v>
      </x:c>
      <x:c r="C7" t="str">
        <x:v>Big Bag 1.250 kg</x:v>
      </x:c>
      <x:c r="D7" t="str">
        <x:v>NE</x:v>
      </x:c>
      <x:c r="E7" s="52" t="n">
        <x:f>IF(D7="","",MINIFS('Movimentações'!$A$5:$A$504,'Movimentações'!$C$5:$C$504,A7,'Movimentações'!$F$5:$F$504,D7,'Movimentações'!$B$5:$B$504,"ENTRADA"))</x:f>
        <x:v>46247.708333333336</x:v>
      </x:c>
      <x:c r="F7" s="53" t="n">
        <x:f>IF(D7="","",SUMIFS('Movimentações'!$K$5:$K$504,'Movimentações'!$C$5:$C$504,A7,'Movimentações'!$F$5:$F$504,D7))</x:f>
        <x:v>7</x:v>
      </x:c>
      <x:c r="G7" s="53" t="n">
        <x:f>IF(D7="","",SUMIFS('Movimentações'!$L$5:$L$504,'Movimentações'!$C$5:$C$504,A7,'Movimentações'!$F$5:$F$504,D7))</x:f>
        <x:v>7</x:v>
      </x:c>
      <x:c r="H7" s="53" t="n">
        <x:f>IF(D7="","",F7-G7)</x:f>
        <x:v>0</x:v>
      </x:c>
      <x:c r="I7" s="53" t="n">
        <x:f>IF(D7="","",SUMIFS('Movimentações'!$N$5:$N$504,'Movimentações'!$C$5:$C$504,A7,'Movimentações'!$F$5:$F$504,D7)-SUMIFS('Movimentações'!$O$5:$O$504,'Movimentações'!$C$5:$C$504,A7,'Movimentações'!$F$5:$F$504,D7))</x:f>
        <x:v>0</x:v>
      </x:c>
      <x:c r="J7" t="str">
        <x:f>IF(D7="","",IF(H7&lt;0,"SALDO NEGATIVO",IF(H7=0,"ESGOTADO","DISPONÍVEL")))</x:f>
        <x:v>ESGOTADO</x:v>
      </x:c>
      <x:c r="K7" t="str">
        <x:f>IF(D7="","",IF(H7&lt;0,"REVISAR MOVIMENTAÇÕES",IF(H7&lt;=2,"ESTOQUE BAIXO","OK")))</x:f>
        <x:v>ESTOQUE BAIXO</x:v>
      </x:c>
    </x:row>
    <x:row r="8">
      <x:c r="A8" t="str">
        <x:v>Farinha para o Flotamil</x:v>
      </x:c>
      <x:c r="B8" t="str">
        <x:v>691</x:v>
      </x:c>
      <x:c r="C8" t="str">
        <x:v>Farinha</x:v>
      </x:c>
      <x:c r="D8" t="str">
        <x:v>FLOTAMIL-20260820</x:v>
      </x:c>
      <x:c r="E8" s="52" t="n">
        <x:f>IF(D8="","",MINIFS('Movimentações'!$A$5:$A$504,'Movimentações'!$C$5:$C$504,A8,'Movimentações'!$F$5:$F$504,D8,'Movimentações'!$B$5:$B$504,"ENTRADA"))</x:f>
        <x:v>46254.708333333336</x:v>
      </x:c>
      <x:c r="F8" s="53" t="n">
        <x:f>IF(D8="","",SUMIFS('Movimentações'!$K$5:$K$504,'Movimentações'!$C$5:$C$504,A8,'Movimentações'!$F$5:$F$504,D8))</x:f>
        <x:v>1672</x:v>
      </x:c>
      <x:c r="G8" s="53" t="n">
        <x:f>IF(D8="","",SUMIFS('Movimentações'!$L$5:$L$504,'Movimentações'!$C$5:$C$504,A8,'Movimentações'!$F$5:$F$504,D8))</x:f>
        <x:v>0</x:v>
      </x:c>
      <x:c r="H8" s="53" t="n">
        <x:f>IF(D8="","",F8-G8)</x:f>
        <x:v>1672</x:v>
      </x:c>
      <x:c r="I8" s="53" t="n">
        <x:f>IF(D8="","",SUMIFS('Movimentações'!$N$5:$N$504,'Movimentações'!$C$5:$C$504,A8,'Movimentações'!$F$5:$F$504,D8)-SUMIFS('Movimentações'!$O$5:$O$504,'Movimentações'!$C$5:$C$504,A8,'Movimentações'!$F$5:$F$504,D8))</x:f>
        <x:v>1672</x:v>
      </x:c>
      <x:c r="J8" t="str">
        <x:f>IF(D8="","",IF(H8&lt;0,"SALDO NEGATIVO",IF(H8=0,"ESGOTADO","DISPONÍVEL")))</x:f>
        <x:v>DISPONÍVEL</x:v>
      </x:c>
      <x:c r="K8" t="str">
        <x:f>IF(D8="","",IF(H8&lt;0,"REVISAR MOVIMENTAÇÕES",IF(H8&lt;=2,"ESTOQUE BAIXO","OK")))</x:f>
        <x:v>OK</x:v>
      </x:c>
    </x:row>
    <x:row r="9">
      <x:c r="A9" t="str">
        <x:v>Farinheira</x:v>
      </x:c>
      <x:c r="B9" t="str">
        <x:v>1437</x:v>
      </x:c>
      <x:c r="C9" t="str">
        <x:v>Big Bag 1.300 kg</x:v>
      </x:c>
      <x:c r="D9" t="str">
        <x:v>0034H26IT</x:v>
      </x:c>
      <x:c r="E9" s="52" t="n">
        <x:f>IF(D9="","",MINIFS('Movimentações'!$A$5:$A$504,'Movimentações'!$C$5:$C$504,A9,'Movimentações'!$F$5:$F$504,D9,'Movimentações'!$B$5:$B$504,"ENTRADA"))</x:f>
        <x:v>46237.708333333336</x:v>
      </x:c>
      <x:c r="F9" s="53" t="n">
        <x:f>IF(D9="","",SUMIFS('Movimentações'!$K$5:$K$504,'Movimentações'!$C$5:$C$504,A9,'Movimentações'!$F$5:$F$504,D9))</x:f>
        <x:v>13</x:v>
      </x:c>
      <x:c r="G9" s="53" t="n">
        <x:f>IF(D9="","",SUMIFS('Movimentações'!$L$5:$L$504,'Movimentações'!$C$5:$C$504,A9,'Movimentações'!$F$5:$F$504,D9))</x:f>
        <x:v>0</x:v>
      </x:c>
      <x:c r="H9" s="53" t="n">
        <x:f>IF(D9="","",F9-G9)</x:f>
        <x:v>13</x:v>
      </x:c>
      <x:c r="I9" s="53" t="n">
        <x:f>IF(D9="","",SUMIFS('Movimentações'!$N$5:$N$504,'Movimentações'!$C$5:$C$504,A9,'Movimentações'!$F$5:$F$504,D9)-SUMIFS('Movimentações'!$O$5:$O$504,'Movimentações'!$C$5:$C$504,A9,'Movimentações'!$F$5:$F$504,D9))</x:f>
        <x:v>16900</x:v>
      </x:c>
      <x:c r="J9" t="str">
        <x:f>IF(D9="","",IF(H9&lt;0,"SALDO NEGATIVO",IF(H9=0,"ESGOTADO","DISPONÍVEL")))</x:f>
        <x:v>DISPONÍVEL</x:v>
      </x:c>
      <x:c r="K9" t="str">
        <x:f>IF(D9="","",IF(H9&lt;0,"REVISAR MOVIMENTAÇÕES",IF(H9&lt;=2,"ESTOQUE BAIXO","OK")))</x:f>
        <x:v>OK</x:v>
      </x:c>
    </x:row>
    <x:row r="10">
      <x:c r="A10" t="str">
        <x:v>Farinheira</x:v>
      </x:c>
      <x:c r="B10" t="str">
        <x:v>1437</x:v>
      </x:c>
      <x:c r="C10" t="str">
        <x:v>Big Bag 1.300 kg</x:v>
      </x:c>
      <x:c r="D10" t="str">
        <x:v>0120G26IT</x:v>
      </x:c>
      <x:c r="E10" s="52" t="n">
        <x:f>IF(D10="","",MINIFS('Movimentações'!$A$5:$A$504,'Movimentações'!$C$5:$C$504,A10,'Movimentações'!$F$5:$F$504,D10,'Movimentações'!$B$5:$B$504,"ENTRADA"))</x:f>
        <x:v>46210.708333333336</x:v>
      </x:c>
      <x:c r="F10" s="53" t="n">
        <x:f>IF(D10="","",SUMIFS('Movimentações'!$K$5:$K$504,'Movimentações'!$C$5:$C$504,A10,'Movimentações'!$F$5:$F$504,D10))</x:f>
        <x:v>3</x:v>
      </x:c>
      <x:c r="G10" s="53" t="n">
        <x:f>IF(D10="","",SUMIFS('Movimentações'!$L$5:$L$504,'Movimentações'!$C$5:$C$504,A10,'Movimentações'!$F$5:$F$504,D10))</x:f>
        <x:v>3</x:v>
      </x:c>
      <x:c r="H10" s="53" t="n">
        <x:f>IF(D10="","",F10-G10)</x:f>
        <x:v>0</x:v>
      </x:c>
      <x:c r="I10" s="53" t="n">
        <x:f>IF(D10="","",SUMIFS('Movimentações'!$N$5:$N$504,'Movimentações'!$C$5:$C$504,A10,'Movimentações'!$F$5:$F$504,D10)-SUMIFS('Movimentações'!$O$5:$O$504,'Movimentações'!$C$5:$C$504,A10,'Movimentações'!$F$5:$F$504,D10))</x:f>
        <x:v>0</x:v>
      </x:c>
      <x:c r="J10" t="str">
        <x:f>IF(D10="","",IF(H10&lt;0,"SALDO NEGATIVO",IF(H10=0,"ESGOTADO","DISPONÍVEL")))</x:f>
        <x:v>ESGOTADO</x:v>
      </x:c>
      <x:c r="K10" t="str">
        <x:f>IF(D10="","",IF(H10&lt;0,"REVISAR MOVIMENTAÇÕES",IF(H10&lt;=2,"ESTOQUE BAIXO","OK")))</x:f>
        <x:v>ESTOQUE BAIXO</x:v>
      </x:c>
    </x:row>
    <x:row r="11">
      <x:c r="A11" t="str">
        <x:v>Farinheira</x:v>
      </x:c>
      <x:c r="B11" t="str">
        <x:v>1437</x:v>
      </x:c>
      <x:c r="C11" t="str">
        <x:v>Big Bag 1.300 kg</x:v>
      </x:c>
      <x:c r="D11" t="str">
        <x:v>0146H26IT</x:v>
      </x:c>
      <x:c r="E11" s="52" t="n">
        <x:f>IF(D11="","",MINIFS('Movimentações'!$A$5:$A$504,'Movimentações'!$C$5:$C$504,A11,'Movimentações'!$F$5:$F$504,D11,'Movimentações'!$B$5:$B$504,"ENTRADA"))</x:f>
        <x:v>46245.708333333336</x:v>
      </x:c>
      <x:c r="F11" s="53" t="n">
        <x:f>IF(D11="","",SUMIFS('Movimentações'!$K$5:$K$504,'Movimentações'!$C$5:$C$504,A11,'Movimentações'!$F$5:$F$504,D11))</x:f>
        <x:v>22</x:v>
      </x:c>
      <x:c r="G11" s="53" t="n">
        <x:f>IF(D11="","",SUMIFS('Movimentações'!$L$5:$L$504,'Movimentações'!$C$5:$C$504,A11,'Movimentações'!$F$5:$F$504,D11))</x:f>
        <x:v>0</x:v>
      </x:c>
      <x:c r="H11" s="53" t="n">
        <x:f>IF(D11="","",F11-G11)</x:f>
        <x:v>22</x:v>
      </x:c>
      <x:c r="I11" s="53" t="n">
        <x:f>IF(D11="","",SUMIFS('Movimentações'!$N$5:$N$504,'Movimentações'!$C$5:$C$504,A11,'Movimentações'!$F$5:$F$504,D11)-SUMIFS('Movimentações'!$O$5:$O$504,'Movimentações'!$C$5:$C$504,A11,'Movimentações'!$F$5:$F$504,D11))</x:f>
        <x:v>28600</x:v>
      </x:c>
      <x:c r="J11" t="str">
        <x:f>IF(D11="","",IF(H11&lt;0,"SALDO NEGATIVO",IF(H11=0,"ESGOTADO","DISPONÍVEL")))</x:f>
        <x:v>DISPONÍVEL</x:v>
      </x:c>
      <x:c r="K11" t="str">
        <x:f>IF(D11="","",IF(H11&lt;0,"REVISAR MOVIMENTAÇÕES",IF(H11&lt;=2,"ESTOQUE BAIXO","OK")))</x:f>
        <x:v>OK</x:v>
      </x:c>
    </x:row>
    <x:row r="12">
      <x:c r="A12" t="str">
        <x:v>Farinheira</x:v>
      </x:c>
      <x:c r="B12" t="str">
        <x:v>1437</x:v>
      </x:c>
      <x:c r="C12" t="str">
        <x:v>Big Bag 1.300 kg</x:v>
      </x:c>
      <x:c r="D12" t="str">
        <x:v>0232H26IT</x:v>
      </x:c>
      <x:c r="E12" s="52" t="n">
        <x:f>IF(D12="","",MINIFS('Movimentações'!$A$5:$A$504,'Movimentações'!$C$5:$C$504,A12,'Movimentações'!$F$5:$F$504,D12,'Movimentações'!$B$5:$B$504,"ENTRADA"))</x:f>
        <x:v>46251.708333333336</x:v>
      </x:c>
      <x:c r="F12" s="53" t="n">
        <x:f>IF(D12="","",SUMIFS('Movimentações'!$K$5:$K$504,'Movimentações'!$C$5:$C$504,A12,'Movimentações'!$F$5:$F$504,D12))</x:f>
        <x:v>11</x:v>
      </x:c>
      <x:c r="G12" s="53" t="n">
        <x:f>IF(D12="","",SUMIFS('Movimentações'!$L$5:$L$504,'Movimentações'!$C$5:$C$504,A12,'Movimentações'!$F$5:$F$504,D12))</x:f>
        <x:v>0</x:v>
      </x:c>
      <x:c r="H12" s="53" t="n">
        <x:f>IF(D12="","",F12-G12)</x:f>
        <x:v>11</x:v>
      </x:c>
      <x:c r="I12" s="53" t="n">
        <x:f>IF(D12="","",SUMIFS('Movimentações'!$N$5:$N$504,'Movimentações'!$C$5:$C$504,A12,'Movimentações'!$F$5:$F$504,D12)-SUMIFS('Movimentações'!$O$5:$O$504,'Movimentações'!$C$5:$C$504,A12,'Movimentações'!$F$5:$F$504,D12))</x:f>
        <x:v>14300</x:v>
      </x:c>
      <x:c r="J12" t="str">
        <x:f>IF(D12="","",IF(H12&lt;0,"SALDO NEGATIVO",IF(H12=0,"ESGOTADO","DISPONÍVEL")))</x:f>
        <x:v>DISPONÍVEL</x:v>
      </x:c>
      <x:c r="K12" t="str">
        <x:f>IF(D12="","",IF(H12&lt;0,"REVISAR MOVIMENTAÇÕES",IF(H12&lt;=2,"ESTOQUE BAIXO","OK")))</x:f>
        <x:v>OK</x:v>
      </x:c>
    </x:row>
    <x:row r="13">
      <x:c r="A13" t="str">
        <x:v>Farinheira</x:v>
      </x:c>
      <x:c r="B13" t="str">
        <x:v>1437</x:v>
      </x:c>
      <x:c r="C13" t="str">
        <x:v>Big Bag 1.300 kg</x:v>
      </x:c>
      <x:c r="D13" t="str">
        <x:v>0305G6IT</x:v>
      </x:c>
      <x:c r="E13" s="52" t="n">
        <x:f>IF(D13="","",MINIFS('Movimentações'!$A$5:$A$504,'Movimentações'!$C$5:$C$504,A13,'Movimentações'!$F$5:$F$504,D13,'Movimentações'!$B$5:$B$504,"ENTRADA"))</x:f>
        <x:v>46224.708333333336</x:v>
      </x:c>
      <x:c r="F13" s="53" t="n">
        <x:f>IF(D13="","",SUMIFS('Movimentações'!$K$5:$K$504,'Movimentações'!$C$5:$C$504,A13,'Movimentações'!$F$5:$F$504,D13))</x:f>
        <x:v>4</x:v>
      </x:c>
      <x:c r="G13" s="53" t="n">
        <x:f>IF(D13="","",SUMIFS('Movimentações'!$L$5:$L$504,'Movimentações'!$C$5:$C$504,A13,'Movimentações'!$F$5:$F$504,D13))</x:f>
        <x:v>4</x:v>
      </x:c>
      <x:c r="H13" s="53" t="n">
        <x:f>IF(D13="","",F13-G13)</x:f>
        <x:v>0</x:v>
      </x:c>
      <x:c r="I13" s="53" t="n">
        <x:f>IF(D13="","",SUMIFS('Movimentações'!$N$5:$N$504,'Movimentações'!$C$5:$C$504,A13,'Movimentações'!$F$5:$F$504,D13)-SUMIFS('Movimentações'!$O$5:$O$504,'Movimentações'!$C$5:$C$504,A13,'Movimentações'!$F$5:$F$504,D13))</x:f>
        <x:v>0</x:v>
      </x:c>
      <x:c r="J13" t="str">
        <x:f>IF(D13="","",IF(H13&lt;0,"SALDO NEGATIVO",IF(H13=0,"ESGOTADO","DISPONÍVEL")))</x:f>
        <x:v>ESGOTADO</x:v>
      </x:c>
      <x:c r="K13" t="str">
        <x:f>IF(D13="","",IF(H13&lt;0,"REVISAR MOVIMENTAÇÕES",IF(H13&lt;=2,"ESTOQUE BAIXO","OK")))</x:f>
        <x:v>ESTOQUE BAIXO</x:v>
      </x:c>
    </x:row>
    <x:row r="14">
      <x:c r="A14" t="str">
        <x:v>Farinheira</x:v>
      </x:c>
      <x:c r="B14" t="str">
        <x:v>1437</x:v>
      </x:c>
      <x:c r="C14" t="str">
        <x:v>Big Bag 1.300 kg</x:v>
      </x:c>
      <x:c r="D14" t="str">
        <x:v>0401G26IT</x:v>
      </x:c>
      <x:c r="E14" s="52" t="n">
        <x:f>IF(D14="","",MINIFS('Movimentações'!$A$5:$A$504,'Movimentações'!$C$5:$C$504,A14,'Movimentações'!$F$5:$F$504,D14,'Movimentações'!$B$5:$B$504,"ENTRADA"))</x:f>
        <x:v>46237.708333333336</x:v>
      </x:c>
      <x:c r="F14" s="53" t="n">
        <x:f>IF(D14="","",SUMIFS('Movimentações'!$K$5:$K$504,'Movimentações'!$C$5:$C$504,A14,'Movimentações'!$F$5:$F$504,D14))</x:f>
        <x:v>5</x:v>
      </x:c>
      <x:c r="G14" s="53" t="n">
        <x:f>IF(D14="","",SUMIFS('Movimentações'!$L$5:$L$504,'Movimentações'!$C$5:$C$504,A14,'Movimentações'!$F$5:$F$504,D14))</x:f>
        <x:v>1</x:v>
      </x:c>
      <x:c r="H14" s="53" t="n">
        <x:f>IF(D14="","",F14-G14)</x:f>
        <x:v>4</x:v>
      </x:c>
      <x:c r="I14" s="53" t="n">
        <x:f>IF(D14="","",SUMIFS('Movimentações'!$N$5:$N$504,'Movimentações'!$C$5:$C$504,A14,'Movimentações'!$F$5:$F$504,D14)-SUMIFS('Movimentações'!$O$5:$O$504,'Movimentações'!$C$5:$C$504,A14,'Movimentações'!$F$5:$F$504,D14))</x:f>
        <x:v>5200</x:v>
      </x:c>
      <x:c r="J14" t="str">
        <x:f>IF(D14="","",IF(H14&lt;0,"SALDO NEGATIVO",IF(H14=0,"ESGOTADO","DISPONÍVEL")))</x:f>
        <x:v>DISPONÍVEL</x:v>
      </x:c>
      <x:c r="K14" t="str">
        <x:f>IF(D14="","",IF(H14&lt;0,"REVISAR MOVIMENTAÇÕES",IF(H14&lt;=2,"ESTOQUE BAIXO","OK")))</x:f>
        <x:v>OK</x:v>
      </x:c>
    </x:row>
    <x:row r="15">
      <x:c r="E15" s="52" t="str">
        <x:f>IF(D15="","",MINIFS('Movimentações'!$A$5:$A$504,'Movimentações'!$C$5:$C$504,A15,'Movimentações'!$F$5:$F$504,D15,'Movimentações'!$B$5:$B$504,"ENTRADA"))</x:f>
      </x:c>
      <x:c r="F15" s="53" t="str">
        <x:f>IF(D15="","",SUMIFS('Movimentações'!$K$5:$K$504,'Movimentações'!$C$5:$C$504,A15,'Movimentações'!$F$5:$F$504,D15))</x:f>
      </x:c>
      <x:c r="G15" s="53" t="str">
        <x:f>IF(D15="","",SUMIFS('Movimentações'!$L$5:$L$504,'Movimentações'!$C$5:$C$504,A15,'Movimentações'!$F$5:$F$504,D15))</x:f>
      </x:c>
      <x:c r="H15" s="53" t="str">
        <x:f>IF(D15="","",F15-G15)</x:f>
      </x:c>
      <x:c r="I15" s="53" t="str">
        <x:f>IF(D15="","",SUMIFS('Movimentações'!$N$5:$N$504,'Movimentações'!$C$5:$C$504,A15,'Movimentações'!$F$5:$F$504,D15)-SUMIFS('Movimentações'!$O$5:$O$504,'Movimentações'!$C$5:$C$504,A15,'Movimentações'!$F$5:$F$504,D15))</x:f>
      </x:c>
      <x:c r="J15" t="str">
        <x:f>IF(D15="","",IF(H15&lt;0,"SALDO NEGATIVO",IF(H15=0,"ESGOTADO","DISPONÍVEL")))</x:f>
      </x:c>
      <x:c r="K15" t="str">
        <x:f>IF(D15="","",IF(H15&lt;0,"REVISAR MOVIMENTAÇÕES",IF(H15&lt;=2,"ESTOQUE BAIXO","OK")))</x:f>
      </x:c>
    </x:row>
    <x:row r="16">
      <x:c r="E16" s="52" t="str">
        <x:f>IF(D16="","",MINIFS('Movimentações'!$A$5:$A$504,'Movimentações'!$C$5:$C$504,A16,'Movimentações'!$F$5:$F$504,D16,'Movimentações'!$B$5:$B$504,"ENTRADA"))</x:f>
      </x:c>
      <x:c r="F16" s="53" t="str">
        <x:f>IF(D16="","",SUMIFS('Movimentações'!$K$5:$K$504,'Movimentações'!$C$5:$C$504,A16,'Movimentações'!$F$5:$F$504,D16))</x:f>
      </x:c>
      <x:c r="G16" s="53" t="str">
        <x:f>IF(D16="","",SUMIFS('Movimentações'!$L$5:$L$504,'Movimentações'!$C$5:$C$504,A16,'Movimentações'!$F$5:$F$504,D16))</x:f>
      </x:c>
      <x:c r="H16" s="53" t="str">
        <x:f>IF(D16="","",F16-G16)</x:f>
      </x:c>
      <x:c r="I16" s="53" t="str">
        <x:f>IF(D16="","",SUMIFS('Movimentações'!$N$5:$N$504,'Movimentações'!$C$5:$C$504,A16,'Movimentações'!$F$5:$F$504,D16)-SUMIFS('Movimentações'!$O$5:$O$504,'Movimentações'!$C$5:$C$504,A16,'Movimentações'!$F$5:$F$504,D16))</x:f>
      </x:c>
      <x:c r="J16" t="str">
        <x:f>IF(D16="","",IF(H16&lt;0,"SALDO NEGATIVO",IF(H16=0,"ESGOTADO","DISPONÍVEL")))</x:f>
      </x:c>
      <x:c r="K16" t="str">
        <x:f>IF(D16="","",IF(H16&lt;0,"REVISAR MOVIMENTAÇÕES",IF(H16&lt;=2,"ESTOQUE BAIXO","OK")))</x:f>
      </x:c>
    </x:row>
    <x:row r="17">
      <x:c r="E17" s="52" t="str">
        <x:f>IF(D17="","",MINIFS('Movimentações'!$A$5:$A$504,'Movimentações'!$C$5:$C$504,A17,'Movimentações'!$F$5:$F$504,D17,'Movimentações'!$B$5:$B$504,"ENTRADA"))</x:f>
      </x:c>
      <x:c r="F17" s="53" t="str">
        <x:f>IF(D17="","",SUMIFS('Movimentações'!$K$5:$K$504,'Movimentações'!$C$5:$C$504,A17,'Movimentações'!$F$5:$F$504,D17))</x:f>
      </x:c>
      <x:c r="G17" s="53" t="str">
        <x:f>IF(D17="","",SUMIFS('Movimentações'!$L$5:$L$504,'Movimentações'!$C$5:$C$504,A17,'Movimentações'!$F$5:$F$504,D17))</x:f>
      </x:c>
      <x:c r="H17" s="53" t="str">
        <x:f>IF(D17="","",F17-G17)</x:f>
      </x:c>
      <x:c r="I17" s="53" t="str">
        <x:f>IF(D17="","",SUMIFS('Movimentações'!$N$5:$N$504,'Movimentações'!$C$5:$C$504,A17,'Movimentações'!$F$5:$F$504,D17)-SUMIFS('Movimentações'!$O$5:$O$504,'Movimentações'!$C$5:$C$504,A17,'Movimentações'!$F$5:$F$504,D17))</x:f>
      </x:c>
      <x:c r="J17" t="str">
        <x:f>IF(D17="","",IF(H17&lt;0,"SALDO NEGATIVO",IF(H17=0,"ESGOTADO","DISPONÍVEL")))</x:f>
      </x:c>
      <x:c r="K17" t="str">
        <x:f>IF(D17="","",IF(H17&lt;0,"REVISAR MOVIMENTAÇÕES",IF(H17&lt;=2,"ESTOQUE BAIXO","OK")))</x:f>
      </x:c>
    </x:row>
    <x:row r="18">
      <x:c r="E18" s="52" t="str">
        <x:f>IF(D18="","",MINIFS('Movimentações'!$A$5:$A$504,'Movimentações'!$C$5:$C$504,A18,'Movimentações'!$F$5:$F$504,D18,'Movimentações'!$B$5:$B$504,"ENTRADA"))</x:f>
      </x:c>
      <x:c r="F18" s="53" t="str">
        <x:f>IF(D18="","",SUMIFS('Movimentações'!$K$5:$K$504,'Movimentações'!$C$5:$C$504,A18,'Movimentações'!$F$5:$F$504,D18))</x:f>
      </x:c>
      <x:c r="G18" s="53" t="str">
        <x:f>IF(D18="","",SUMIFS('Movimentações'!$L$5:$L$504,'Movimentações'!$C$5:$C$504,A18,'Movimentações'!$F$5:$F$504,D18))</x:f>
      </x:c>
      <x:c r="H18" s="53" t="str">
        <x:f>IF(D18="","",F18-G18)</x:f>
      </x:c>
      <x:c r="I18" s="53" t="str">
        <x:f>IF(D18="","",SUMIFS('Movimentações'!$N$5:$N$504,'Movimentações'!$C$5:$C$504,A18,'Movimentações'!$F$5:$F$504,D18)-SUMIFS('Movimentações'!$O$5:$O$504,'Movimentações'!$C$5:$C$504,A18,'Movimentações'!$F$5:$F$504,D18))</x:f>
      </x:c>
      <x:c r="J18" t="str">
        <x:f>IF(D18="","",IF(H18&lt;0,"SALDO NEGATIVO",IF(H18=0,"ESGOTADO","DISPONÍVEL")))</x:f>
      </x:c>
      <x:c r="K18" t="str">
        <x:f>IF(D18="","",IF(H18&lt;0,"REVISAR MOVIMENTAÇÕES",IF(H18&lt;=2,"ESTOQUE BAIXO","OK")))</x:f>
      </x:c>
    </x:row>
    <x:row r="19">
      <x:c r="E19" s="52" t="str">
        <x:f>IF(D19="","",MINIFS('Movimentações'!$A$5:$A$504,'Movimentações'!$C$5:$C$504,A19,'Movimentações'!$F$5:$F$504,D19,'Movimentações'!$B$5:$B$504,"ENTRADA"))</x:f>
      </x:c>
      <x:c r="F19" s="53" t="str">
        <x:f>IF(D19="","",SUMIFS('Movimentações'!$K$5:$K$504,'Movimentações'!$C$5:$C$504,A19,'Movimentações'!$F$5:$F$504,D19))</x:f>
      </x:c>
      <x:c r="G19" s="53" t="str">
        <x:f>IF(D19="","",SUMIFS('Movimentações'!$L$5:$L$504,'Movimentações'!$C$5:$C$504,A19,'Movimentações'!$F$5:$F$504,D19))</x:f>
      </x:c>
      <x:c r="H19" s="53" t="str">
        <x:f>IF(D19="","",F19-G19)</x:f>
      </x:c>
      <x:c r="I19" s="53" t="str">
        <x:f>IF(D19="","",SUMIFS('Movimentações'!$N$5:$N$504,'Movimentações'!$C$5:$C$504,A19,'Movimentações'!$F$5:$F$504,D19)-SUMIFS('Movimentações'!$O$5:$O$504,'Movimentações'!$C$5:$C$504,A19,'Movimentações'!$F$5:$F$504,D19))</x:f>
      </x:c>
      <x:c r="J19" t="str">
        <x:f>IF(D19="","",IF(H19&lt;0,"SALDO NEGATIVO",IF(H19=0,"ESGOTADO","DISPONÍVEL")))</x:f>
      </x:c>
      <x:c r="K19" t="str">
        <x:f>IF(D19="","",IF(H19&lt;0,"REVISAR MOVIMENTAÇÕES",IF(H19&lt;=2,"ESTOQUE BAIXO","OK")))</x:f>
      </x:c>
    </x:row>
    <x:row r="20">
      <x:c r="E20" s="52" t="str">
        <x:f>IF(D20="","",MINIFS('Movimentações'!$A$5:$A$504,'Movimentações'!$C$5:$C$504,A20,'Movimentações'!$F$5:$F$504,D20,'Movimentações'!$B$5:$B$504,"ENTRADA"))</x:f>
      </x:c>
      <x:c r="F20" s="53" t="str">
        <x:f>IF(D20="","",SUMIFS('Movimentações'!$K$5:$K$504,'Movimentações'!$C$5:$C$504,A20,'Movimentações'!$F$5:$F$504,D20))</x:f>
      </x:c>
      <x:c r="G20" s="53" t="str">
        <x:f>IF(D20="","",SUMIFS('Movimentações'!$L$5:$L$504,'Movimentações'!$C$5:$C$504,A20,'Movimentações'!$F$5:$F$504,D20))</x:f>
      </x:c>
      <x:c r="H20" s="53" t="str">
        <x:f>IF(D20="","",F20-G20)</x:f>
      </x:c>
      <x:c r="I20" s="53" t="str">
        <x:f>IF(D20="","",SUMIFS('Movimentações'!$N$5:$N$504,'Movimentações'!$C$5:$C$504,A20,'Movimentações'!$F$5:$F$504,D20)-SUMIFS('Movimentações'!$O$5:$O$504,'Movimentações'!$C$5:$C$504,A20,'Movimentações'!$F$5:$F$504,D20))</x:f>
      </x:c>
      <x:c r="J20" t="str">
        <x:f>IF(D20="","",IF(H20&lt;0,"SALDO NEGATIVO",IF(H20=0,"ESGOTADO","DISPONÍVEL")))</x:f>
      </x:c>
      <x:c r="K20" t="str">
        <x:f>IF(D20="","",IF(H20&lt;0,"REVISAR MOVIMENTAÇÕES",IF(H20&lt;=2,"ESTOQUE BAIXO","OK")))</x:f>
      </x:c>
    </x:row>
    <x:row r="21">
      <x:c r="E21" s="52" t="str">
        <x:f>IF(D21="","",MINIFS('Movimentações'!$A$5:$A$504,'Movimentações'!$C$5:$C$504,A21,'Movimentações'!$F$5:$F$504,D21,'Movimentações'!$B$5:$B$504,"ENTRADA"))</x:f>
      </x:c>
      <x:c r="F21" s="53" t="str">
        <x:f>IF(D21="","",SUMIFS('Movimentações'!$K$5:$K$504,'Movimentações'!$C$5:$C$504,A21,'Movimentações'!$F$5:$F$504,D21))</x:f>
      </x:c>
      <x:c r="G21" s="53" t="str">
        <x:f>IF(D21="","",SUMIFS('Movimentações'!$L$5:$L$504,'Movimentações'!$C$5:$C$504,A21,'Movimentações'!$F$5:$F$504,D21))</x:f>
      </x:c>
      <x:c r="H21" s="53" t="str">
        <x:f>IF(D21="","",F21-G21)</x:f>
      </x:c>
      <x:c r="I21" s="53" t="str">
        <x:f>IF(D21="","",SUMIFS('Movimentações'!$N$5:$N$504,'Movimentações'!$C$5:$C$504,A21,'Movimentações'!$F$5:$F$504,D21)-SUMIFS('Movimentações'!$O$5:$O$504,'Movimentações'!$C$5:$C$504,A21,'Movimentações'!$F$5:$F$504,D21))</x:f>
      </x:c>
      <x:c r="J21" t="str">
        <x:f>IF(D21="","",IF(H21&lt;0,"SALDO NEGATIVO",IF(H21=0,"ESGOTADO","DISPONÍVEL")))</x:f>
      </x:c>
      <x:c r="K21" t="str">
        <x:f>IF(D21="","",IF(H21&lt;0,"REVISAR MOVIMENTAÇÕES",IF(H21&lt;=2,"ESTOQUE BAIXO","OK")))</x:f>
      </x:c>
    </x:row>
    <x:row r="22">
      <x:c r="E22" s="52" t="str">
        <x:f>IF(D22="","",MINIFS('Movimentações'!$A$5:$A$504,'Movimentações'!$C$5:$C$504,A22,'Movimentações'!$F$5:$F$504,D22,'Movimentações'!$B$5:$B$504,"ENTRADA"))</x:f>
      </x:c>
      <x:c r="F22" s="53" t="str">
        <x:f>IF(D22="","",SUMIFS('Movimentações'!$K$5:$K$504,'Movimentações'!$C$5:$C$504,A22,'Movimentações'!$F$5:$F$504,D22))</x:f>
      </x:c>
      <x:c r="G22" s="53" t="str">
        <x:f>IF(D22="","",SUMIFS('Movimentações'!$L$5:$L$504,'Movimentações'!$C$5:$C$504,A22,'Movimentações'!$F$5:$F$504,D22))</x:f>
      </x:c>
      <x:c r="H22" s="53" t="str">
        <x:f>IF(D22="","",F22-G22)</x:f>
      </x:c>
      <x:c r="I22" s="53" t="str">
        <x:f>IF(D22="","",SUMIFS('Movimentações'!$N$5:$N$504,'Movimentações'!$C$5:$C$504,A22,'Movimentações'!$F$5:$F$504,D22)-SUMIFS('Movimentações'!$O$5:$O$504,'Movimentações'!$C$5:$C$504,A22,'Movimentações'!$F$5:$F$504,D22))</x:f>
      </x:c>
      <x:c r="J22" t="str">
        <x:f>IF(D22="","",IF(H22&lt;0,"SALDO NEGATIVO",IF(H22=0,"ESGOTADO","DISPONÍVEL")))</x:f>
      </x:c>
      <x:c r="K22" t="str">
        <x:f>IF(D22="","",IF(H22&lt;0,"REVISAR MOVIMENTAÇÕES",IF(H22&lt;=2,"ESTOQUE BAIXO","OK")))</x:f>
      </x:c>
    </x:row>
    <x:row r="23">
      <x:c r="E23" s="52" t="str">
        <x:f>IF(D23="","",MINIFS('Movimentações'!$A$5:$A$504,'Movimentações'!$C$5:$C$504,A23,'Movimentações'!$F$5:$F$504,D23,'Movimentações'!$B$5:$B$504,"ENTRADA"))</x:f>
      </x:c>
      <x:c r="F23" s="53" t="str">
        <x:f>IF(D23="","",SUMIFS('Movimentações'!$K$5:$K$504,'Movimentações'!$C$5:$C$504,A23,'Movimentações'!$F$5:$F$504,D23))</x:f>
      </x:c>
      <x:c r="G23" s="53" t="str">
        <x:f>IF(D23="","",SUMIFS('Movimentações'!$L$5:$L$504,'Movimentações'!$C$5:$C$504,A23,'Movimentações'!$F$5:$F$504,D23))</x:f>
      </x:c>
      <x:c r="H23" s="53" t="str">
        <x:f>IF(D23="","",F23-G23)</x:f>
      </x:c>
      <x:c r="I23" s="53" t="str">
        <x:f>IF(D23="","",SUMIFS('Movimentações'!$N$5:$N$504,'Movimentações'!$C$5:$C$504,A23,'Movimentações'!$F$5:$F$504,D23)-SUMIFS('Movimentações'!$O$5:$O$504,'Movimentações'!$C$5:$C$504,A23,'Movimentações'!$F$5:$F$504,D23))</x:f>
      </x:c>
      <x:c r="J23" t="str">
        <x:f>IF(D23="","",IF(H23&lt;0,"SALDO NEGATIVO",IF(H23=0,"ESGOTADO","DISPONÍVEL")))</x:f>
      </x:c>
      <x:c r="K23" t="str">
        <x:f>IF(D23="","",IF(H23&lt;0,"REVISAR MOVIMENTAÇÕES",IF(H23&lt;=2,"ESTOQUE BAIXO","OK")))</x:f>
      </x:c>
    </x:row>
    <x:row r="24">
      <x:c r="E24" s="52" t="str">
        <x:f>IF(D24="","",MINIFS('Movimentações'!$A$5:$A$504,'Movimentações'!$C$5:$C$504,A24,'Movimentações'!$F$5:$F$504,D24,'Movimentações'!$B$5:$B$504,"ENTRADA"))</x:f>
      </x:c>
      <x:c r="F24" s="53" t="str">
        <x:f>IF(D24="","",SUMIFS('Movimentações'!$K$5:$K$504,'Movimentações'!$C$5:$C$504,A24,'Movimentações'!$F$5:$F$504,D24))</x:f>
      </x:c>
      <x:c r="G24" s="53" t="str">
        <x:f>IF(D24="","",SUMIFS('Movimentações'!$L$5:$L$504,'Movimentações'!$C$5:$C$504,A24,'Movimentações'!$F$5:$F$504,D24))</x:f>
      </x:c>
      <x:c r="H24" s="53" t="str">
        <x:f>IF(D24="","",F24-G24)</x:f>
      </x:c>
      <x:c r="I24" s="53" t="str">
        <x:f>IF(D24="","",SUMIFS('Movimentações'!$N$5:$N$504,'Movimentações'!$C$5:$C$504,A24,'Movimentações'!$F$5:$F$504,D24)-SUMIFS('Movimentações'!$O$5:$O$504,'Movimentações'!$C$5:$C$504,A24,'Movimentações'!$F$5:$F$504,D24))</x:f>
      </x:c>
      <x:c r="J24" t="str">
        <x:f>IF(D24="","",IF(H24&lt;0,"SALDO NEGATIVO",IF(H24=0,"ESGOTADO","DISPONÍVEL")))</x:f>
      </x:c>
      <x:c r="K24" t="str">
        <x:f>IF(D24="","",IF(H24&lt;0,"REVISAR MOVIMENTAÇÕES",IF(H24&lt;=2,"ESTOQUE BAIXO","OK")))</x:f>
      </x:c>
    </x:row>
    <x:row r="25">
      <x:c r="E25" s="52" t="str">
        <x:f>IF(D25="","",MINIFS('Movimentações'!$A$5:$A$504,'Movimentações'!$C$5:$C$504,A25,'Movimentações'!$F$5:$F$504,D25,'Movimentações'!$B$5:$B$504,"ENTRADA"))</x:f>
      </x:c>
      <x:c r="F25" s="53" t="str">
        <x:f>IF(D25="","",SUMIFS('Movimentações'!$K$5:$K$504,'Movimentações'!$C$5:$C$504,A25,'Movimentações'!$F$5:$F$504,D25))</x:f>
      </x:c>
      <x:c r="G25" s="53" t="str">
        <x:f>IF(D25="","",SUMIFS('Movimentações'!$L$5:$L$504,'Movimentações'!$C$5:$C$504,A25,'Movimentações'!$F$5:$F$504,D25))</x:f>
      </x:c>
      <x:c r="H25" s="53" t="str">
        <x:f>IF(D25="","",F25-G25)</x:f>
      </x:c>
      <x:c r="I25" s="53" t="str">
        <x:f>IF(D25="","",SUMIFS('Movimentações'!$N$5:$N$504,'Movimentações'!$C$5:$C$504,A25,'Movimentações'!$F$5:$F$504,D25)-SUMIFS('Movimentações'!$O$5:$O$504,'Movimentações'!$C$5:$C$504,A25,'Movimentações'!$F$5:$F$504,D25))</x:f>
      </x:c>
      <x:c r="J25" t="str">
        <x:f>IF(D25="","",IF(H25&lt;0,"SALDO NEGATIVO",IF(H25=0,"ESGOTADO","DISPONÍVEL")))</x:f>
      </x:c>
      <x:c r="K25" t="str">
        <x:f>IF(D25="","",IF(H25&lt;0,"REVISAR MOVIMENTAÇÕES",IF(H25&lt;=2,"ESTOQUE BAIXO","OK")))</x:f>
      </x:c>
    </x:row>
    <x:row r="26">
      <x:c r="E26" s="52" t="str">
        <x:f>IF(D26="","",MINIFS('Movimentações'!$A$5:$A$504,'Movimentações'!$C$5:$C$504,A26,'Movimentações'!$F$5:$F$504,D26,'Movimentações'!$B$5:$B$504,"ENTRADA"))</x:f>
      </x:c>
      <x:c r="F26" s="53" t="str">
        <x:f>IF(D26="","",SUMIFS('Movimentações'!$K$5:$K$504,'Movimentações'!$C$5:$C$504,A26,'Movimentações'!$F$5:$F$504,D26))</x:f>
      </x:c>
      <x:c r="G26" s="53" t="str">
        <x:f>IF(D26="","",SUMIFS('Movimentações'!$L$5:$L$504,'Movimentações'!$C$5:$C$504,A26,'Movimentações'!$F$5:$F$504,D26))</x:f>
      </x:c>
      <x:c r="H26" s="53" t="str">
        <x:f>IF(D26="","",F26-G26)</x:f>
      </x:c>
      <x:c r="I26" s="53" t="str">
        <x:f>IF(D26="","",SUMIFS('Movimentações'!$N$5:$N$504,'Movimentações'!$C$5:$C$504,A26,'Movimentações'!$F$5:$F$504,D26)-SUMIFS('Movimentações'!$O$5:$O$504,'Movimentações'!$C$5:$C$504,A26,'Movimentações'!$F$5:$F$504,D26))</x:f>
      </x:c>
      <x:c r="J26" t="str">
        <x:f>IF(D26="","",IF(H26&lt;0,"SALDO NEGATIVO",IF(H26=0,"ESGOTADO","DISPONÍVEL")))</x:f>
      </x:c>
      <x:c r="K26" t="str">
        <x:f>IF(D26="","",IF(H26&lt;0,"REVISAR MOVIMENTAÇÕES",IF(H26&lt;=2,"ESTOQUE BAIXO","OK")))</x:f>
      </x:c>
    </x:row>
    <x:row r="27">
      <x:c r="E27" s="52" t="str">
        <x:f>IF(D27="","",MINIFS('Movimentações'!$A$5:$A$504,'Movimentações'!$C$5:$C$504,A27,'Movimentações'!$F$5:$F$504,D27,'Movimentações'!$B$5:$B$504,"ENTRADA"))</x:f>
      </x:c>
      <x:c r="F27" s="53" t="str">
        <x:f>IF(D27="","",SUMIFS('Movimentações'!$K$5:$K$504,'Movimentações'!$C$5:$C$504,A27,'Movimentações'!$F$5:$F$504,D27))</x:f>
      </x:c>
      <x:c r="G27" s="53" t="str">
        <x:f>IF(D27="","",SUMIFS('Movimentações'!$L$5:$L$504,'Movimentações'!$C$5:$C$504,A27,'Movimentações'!$F$5:$F$504,D27))</x:f>
      </x:c>
      <x:c r="H27" s="53" t="str">
        <x:f>IF(D27="","",F27-G27)</x:f>
      </x:c>
      <x:c r="I27" s="53" t="str">
        <x:f>IF(D27="","",SUMIFS('Movimentações'!$N$5:$N$504,'Movimentações'!$C$5:$C$504,A27,'Movimentações'!$F$5:$F$504,D27)-SUMIFS('Movimentações'!$O$5:$O$504,'Movimentações'!$C$5:$C$504,A27,'Movimentações'!$F$5:$F$504,D27))</x:f>
      </x:c>
      <x:c r="J27" t="str">
        <x:f>IF(D27="","",IF(H27&lt;0,"SALDO NEGATIVO",IF(H27=0,"ESGOTADO","DISPONÍVEL")))</x:f>
      </x:c>
      <x:c r="K27" t="str">
        <x:f>IF(D27="","",IF(H27&lt;0,"REVISAR MOVIMENTAÇÕES",IF(H27&lt;=2,"ESTOQUE BAIXO","OK")))</x:f>
      </x:c>
    </x:row>
    <x:row r="28">
      <x:c r="E28" s="52" t="str">
        <x:f>IF(D28="","",MINIFS('Movimentações'!$A$5:$A$504,'Movimentações'!$C$5:$C$504,A28,'Movimentações'!$F$5:$F$504,D28,'Movimentações'!$B$5:$B$504,"ENTRADA"))</x:f>
      </x:c>
      <x:c r="F28" s="53" t="str">
        <x:f>IF(D28="","",SUMIFS('Movimentações'!$K$5:$K$504,'Movimentações'!$C$5:$C$504,A28,'Movimentações'!$F$5:$F$504,D28))</x:f>
      </x:c>
      <x:c r="G28" s="53" t="str">
        <x:f>IF(D28="","",SUMIFS('Movimentações'!$L$5:$L$504,'Movimentações'!$C$5:$C$504,A28,'Movimentações'!$F$5:$F$504,D28))</x:f>
      </x:c>
      <x:c r="H28" s="53" t="str">
        <x:f>IF(D28="","",F28-G28)</x:f>
      </x:c>
      <x:c r="I28" s="53" t="str">
        <x:f>IF(D28="","",SUMIFS('Movimentações'!$N$5:$N$504,'Movimentações'!$C$5:$C$504,A28,'Movimentações'!$F$5:$F$504,D28)-SUMIFS('Movimentações'!$O$5:$O$504,'Movimentações'!$C$5:$C$504,A28,'Movimentações'!$F$5:$F$504,D28))</x:f>
      </x:c>
      <x:c r="J28" t="str">
        <x:f>IF(D28="","",IF(H28&lt;0,"SALDO NEGATIVO",IF(H28=0,"ESGOTADO","DISPONÍVEL")))</x:f>
      </x:c>
      <x:c r="K28" t="str">
        <x:f>IF(D28="","",IF(H28&lt;0,"REVISAR MOVIMENTAÇÕES",IF(H28&lt;=2,"ESTOQUE BAIXO","OK")))</x:f>
      </x:c>
    </x:row>
    <x:row r="29">
      <x:c r="E29" s="52" t="str">
        <x:f>IF(D29="","",MINIFS('Movimentações'!$A$5:$A$504,'Movimentações'!$C$5:$C$504,A29,'Movimentações'!$F$5:$F$504,D29,'Movimentações'!$B$5:$B$504,"ENTRADA"))</x:f>
      </x:c>
      <x:c r="F29" s="53" t="str">
        <x:f>IF(D29="","",SUMIFS('Movimentações'!$K$5:$K$504,'Movimentações'!$C$5:$C$504,A29,'Movimentações'!$F$5:$F$504,D29))</x:f>
      </x:c>
      <x:c r="G29" s="53" t="str">
        <x:f>IF(D29="","",SUMIFS('Movimentações'!$L$5:$L$504,'Movimentações'!$C$5:$C$504,A29,'Movimentações'!$F$5:$F$504,D29))</x:f>
      </x:c>
      <x:c r="H29" s="53" t="str">
        <x:f>IF(D29="","",F29-G29)</x:f>
      </x:c>
      <x:c r="I29" s="53" t="str">
        <x:f>IF(D29="","",SUMIFS('Movimentações'!$N$5:$N$504,'Movimentações'!$C$5:$C$504,A29,'Movimentações'!$F$5:$F$504,D29)-SUMIFS('Movimentações'!$O$5:$O$504,'Movimentações'!$C$5:$C$504,A29,'Movimentações'!$F$5:$F$504,D29))</x:f>
      </x:c>
      <x:c r="J29" t="str">
        <x:f>IF(D29="","",IF(H29&lt;0,"SALDO NEGATIVO",IF(H29=0,"ESGOTADO","DISPONÍVEL")))</x:f>
      </x:c>
      <x:c r="K29" t="str">
        <x:f>IF(D29="","",IF(H29&lt;0,"REVISAR MOVIMENTAÇÕES",IF(H29&lt;=2,"ESTOQUE BAIXO","OK")))</x:f>
      </x:c>
    </x:row>
    <x:row r="30">
      <x:c r="E30" s="52" t="str">
        <x:f>IF(D30="","",MINIFS('Movimentações'!$A$5:$A$504,'Movimentações'!$C$5:$C$504,A30,'Movimentações'!$F$5:$F$504,D30,'Movimentações'!$B$5:$B$504,"ENTRADA"))</x:f>
      </x:c>
      <x:c r="F30" s="53" t="str">
        <x:f>IF(D30="","",SUMIFS('Movimentações'!$K$5:$K$504,'Movimentações'!$C$5:$C$504,A30,'Movimentações'!$F$5:$F$504,D30))</x:f>
      </x:c>
      <x:c r="G30" s="53" t="str">
        <x:f>IF(D30="","",SUMIFS('Movimentações'!$L$5:$L$504,'Movimentações'!$C$5:$C$504,A30,'Movimentações'!$F$5:$F$504,D30))</x:f>
      </x:c>
      <x:c r="H30" s="53" t="str">
        <x:f>IF(D30="","",F30-G30)</x:f>
      </x:c>
      <x:c r="I30" s="53" t="str">
        <x:f>IF(D30="","",SUMIFS('Movimentações'!$N$5:$N$504,'Movimentações'!$C$5:$C$504,A30,'Movimentações'!$F$5:$F$504,D30)-SUMIFS('Movimentações'!$O$5:$O$504,'Movimentações'!$C$5:$C$504,A30,'Movimentações'!$F$5:$F$504,D30))</x:f>
      </x:c>
      <x:c r="J30" t="str">
        <x:f>IF(D30="","",IF(H30&lt;0,"SALDO NEGATIVO",IF(H30=0,"ESGOTADO","DISPONÍVEL")))</x:f>
      </x:c>
      <x:c r="K30" t="str">
        <x:f>IF(D30="","",IF(H30&lt;0,"REVISAR MOVIMENTAÇÕES",IF(H30&lt;=2,"ESTOQUE BAIXO","OK")))</x:f>
      </x:c>
    </x:row>
    <x:row r="31">
      <x:c r="E31" s="52" t="str">
        <x:f>IF(D31="","",MINIFS('Movimentações'!$A$5:$A$504,'Movimentações'!$C$5:$C$504,A31,'Movimentações'!$F$5:$F$504,D31,'Movimentações'!$B$5:$B$504,"ENTRADA"))</x:f>
      </x:c>
      <x:c r="F31" s="53" t="str">
        <x:f>IF(D31="","",SUMIFS('Movimentações'!$K$5:$K$504,'Movimentações'!$C$5:$C$504,A31,'Movimentações'!$F$5:$F$504,D31))</x:f>
      </x:c>
      <x:c r="G31" s="53" t="str">
        <x:f>IF(D31="","",SUMIFS('Movimentações'!$L$5:$L$504,'Movimentações'!$C$5:$C$504,A31,'Movimentações'!$F$5:$F$504,D31))</x:f>
      </x:c>
      <x:c r="H31" s="53" t="str">
        <x:f>IF(D31="","",F31-G31)</x:f>
      </x:c>
      <x:c r="I31" s="53" t="str">
        <x:f>IF(D31="","",SUMIFS('Movimentações'!$N$5:$N$504,'Movimentações'!$C$5:$C$504,A31,'Movimentações'!$F$5:$F$504,D31)-SUMIFS('Movimentações'!$O$5:$O$504,'Movimentações'!$C$5:$C$504,A31,'Movimentações'!$F$5:$F$504,D31))</x:f>
      </x:c>
      <x:c r="J31" t="str">
        <x:f>IF(D31="","",IF(H31&lt;0,"SALDO NEGATIVO",IF(H31=0,"ESGOTADO","DISPONÍVEL")))</x:f>
      </x:c>
      <x:c r="K31" t="str">
        <x:f>IF(D31="","",IF(H31&lt;0,"REVISAR MOVIMENTAÇÕES",IF(H31&lt;=2,"ESTOQUE BAIXO","OK")))</x:f>
      </x:c>
    </x:row>
    <x:row r="32">
      <x:c r="E32" s="52" t="str">
        <x:f>IF(D32="","",MINIFS('Movimentações'!$A$5:$A$504,'Movimentações'!$C$5:$C$504,A32,'Movimentações'!$F$5:$F$504,D32,'Movimentações'!$B$5:$B$504,"ENTRADA"))</x:f>
      </x:c>
      <x:c r="F32" s="53" t="str">
        <x:f>IF(D32="","",SUMIFS('Movimentações'!$K$5:$K$504,'Movimentações'!$C$5:$C$504,A32,'Movimentações'!$F$5:$F$504,D32))</x:f>
      </x:c>
      <x:c r="G32" s="53" t="str">
        <x:f>IF(D32="","",SUMIFS('Movimentações'!$L$5:$L$504,'Movimentações'!$C$5:$C$504,A32,'Movimentações'!$F$5:$F$504,D32))</x:f>
      </x:c>
      <x:c r="H32" s="53" t="str">
        <x:f>IF(D32="","",F32-G32)</x:f>
      </x:c>
      <x:c r="I32" s="53" t="str">
        <x:f>IF(D32="","",SUMIFS('Movimentações'!$N$5:$N$504,'Movimentações'!$C$5:$C$504,A32,'Movimentações'!$F$5:$F$504,D32)-SUMIFS('Movimentações'!$O$5:$O$504,'Movimentações'!$C$5:$C$504,A32,'Movimentações'!$F$5:$F$504,D32))</x:f>
      </x:c>
      <x:c r="J32" t="str">
        <x:f>IF(D32="","",IF(H32&lt;0,"SALDO NEGATIVO",IF(H32=0,"ESGOTADO","DISPONÍVEL")))</x:f>
      </x:c>
      <x:c r="K32" t="str">
        <x:f>IF(D32="","",IF(H32&lt;0,"REVISAR MOVIMENTAÇÕES",IF(H32&lt;=2,"ESTOQUE BAIXO","OK")))</x:f>
      </x:c>
    </x:row>
    <x:row r="33">
      <x:c r="E33" s="52" t="str">
        <x:f>IF(D33="","",MINIFS('Movimentações'!$A$5:$A$504,'Movimentações'!$C$5:$C$504,A33,'Movimentações'!$F$5:$F$504,D33,'Movimentações'!$B$5:$B$504,"ENTRADA"))</x:f>
      </x:c>
      <x:c r="F33" s="53" t="str">
        <x:f>IF(D33="","",SUMIFS('Movimentações'!$K$5:$K$504,'Movimentações'!$C$5:$C$504,A33,'Movimentações'!$F$5:$F$504,D33))</x:f>
      </x:c>
      <x:c r="G33" s="53" t="str">
        <x:f>IF(D33="","",SUMIFS('Movimentações'!$L$5:$L$504,'Movimentações'!$C$5:$C$504,A33,'Movimentações'!$F$5:$F$504,D33))</x:f>
      </x:c>
      <x:c r="H33" s="53" t="str">
        <x:f>IF(D33="","",F33-G33)</x:f>
      </x:c>
      <x:c r="I33" s="53" t="str">
        <x:f>IF(D33="","",SUMIFS('Movimentações'!$N$5:$N$504,'Movimentações'!$C$5:$C$504,A33,'Movimentações'!$F$5:$F$504,D33)-SUMIFS('Movimentações'!$O$5:$O$504,'Movimentações'!$C$5:$C$504,A33,'Movimentações'!$F$5:$F$504,D33))</x:f>
      </x:c>
      <x:c r="J33" t="str">
        <x:f>IF(D33="","",IF(H33&lt;0,"SALDO NEGATIVO",IF(H33=0,"ESGOTADO","DISPONÍVEL")))</x:f>
      </x:c>
      <x:c r="K33" t="str">
        <x:f>IF(D33="","",IF(H33&lt;0,"REVISAR MOVIMENTAÇÕES",IF(H33&lt;=2,"ESTOQUE BAIXO","OK")))</x:f>
      </x:c>
    </x:row>
    <x:row r="34">
      <x:c r="E34" s="52" t="str">
        <x:f>IF(D34="","",MINIFS('Movimentações'!$A$5:$A$504,'Movimentações'!$C$5:$C$504,A34,'Movimentações'!$F$5:$F$504,D34,'Movimentações'!$B$5:$B$504,"ENTRADA"))</x:f>
      </x:c>
      <x:c r="F34" s="53" t="str">
        <x:f>IF(D34="","",SUMIFS('Movimentações'!$K$5:$K$504,'Movimentações'!$C$5:$C$504,A34,'Movimentações'!$F$5:$F$504,D34))</x:f>
      </x:c>
      <x:c r="G34" s="53" t="str">
        <x:f>IF(D34="","",SUMIFS('Movimentações'!$L$5:$L$504,'Movimentações'!$C$5:$C$504,A34,'Movimentações'!$F$5:$F$504,D34))</x:f>
      </x:c>
      <x:c r="H34" s="53" t="str">
        <x:f>IF(D34="","",F34-G34)</x:f>
      </x:c>
      <x:c r="I34" s="53" t="str">
        <x:f>IF(D34="","",SUMIFS('Movimentações'!$N$5:$N$504,'Movimentações'!$C$5:$C$504,A34,'Movimentações'!$F$5:$F$504,D34)-SUMIFS('Movimentações'!$O$5:$O$504,'Movimentações'!$C$5:$C$504,A34,'Movimentações'!$F$5:$F$504,D34))</x:f>
      </x:c>
      <x:c r="J34" t="str">
        <x:f>IF(D34="","",IF(H34&lt;0,"SALDO NEGATIVO",IF(H34=0,"ESGOTADO","DISPONÍVEL")))</x:f>
      </x:c>
      <x:c r="K34" t="str">
        <x:f>IF(D34="","",IF(H34&lt;0,"REVISAR MOVIMENTAÇÕES",IF(H34&lt;=2,"ESTOQUE BAIXO","OK")))</x:f>
      </x:c>
    </x:row>
    <x:row r="35">
      <x:c r="E35" s="52" t="str">
        <x:f>IF(D35="","",MINIFS('Movimentações'!$A$5:$A$504,'Movimentações'!$C$5:$C$504,A35,'Movimentações'!$F$5:$F$504,D35,'Movimentações'!$B$5:$B$504,"ENTRADA"))</x:f>
      </x:c>
      <x:c r="F35" s="53" t="str">
        <x:f>IF(D35="","",SUMIFS('Movimentações'!$K$5:$K$504,'Movimentações'!$C$5:$C$504,A35,'Movimentações'!$F$5:$F$504,D35))</x:f>
      </x:c>
      <x:c r="G35" s="53" t="str">
        <x:f>IF(D35="","",SUMIFS('Movimentações'!$L$5:$L$504,'Movimentações'!$C$5:$C$504,A35,'Movimentações'!$F$5:$F$504,D35))</x:f>
      </x:c>
      <x:c r="H35" s="53" t="str">
        <x:f>IF(D35="","",F35-G35)</x:f>
      </x:c>
      <x:c r="I35" s="53" t="str">
        <x:f>IF(D35="","",SUMIFS('Movimentações'!$N$5:$N$504,'Movimentações'!$C$5:$C$504,A35,'Movimentações'!$F$5:$F$504,D35)-SUMIFS('Movimentações'!$O$5:$O$504,'Movimentações'!$C$5:$C$504,A35,'Movimentações'!$F$5:$F$504,D35))</x:f>
      </x:c>
      <x:c r="J35" t="str">
        <x:f>IF(D35="","",IF(H35&lt;0,"SALDO NEGATIVO",IF(H35=0,"ESGOTADO","DISPONÍVEL")))</x:f>
      </x:c>
      <x:c r="K35" t="str">
        <x:f>IF(D35="","",IF(H35&lt;0,"REVISAR MOVIMENTAÇÕES",IF(H35&lt;=2,"ESTOQUE BAIXO","OK")))</x:f>
      </x:c>
    </x:row>
    <x:row r="36">
      <x:c r="E36" s="52" t="str">
        <x:f>IF(D36="","",MINIFS('Movimentações'!$A$5:$A$504,'Movimentações'!$C$5:$C$504,A36,'Movimentações'!$F$5:$F$504,D36,'Movimentações'!$B$5:$B$504,"ENTRADA"))</x:f>
      </x:c>
      <x:c r="F36" s="53" t="str">
        <x:f>IF(D36="","",SUMIFS('Movimentações'!$K$5:$K$504,'Movimentações'!$C$5:$C$504,A36,'Movimentações'!$F$5:$F$504,D36))</x:f>
      </x:c>
      <x:c r="G36" s="53" t="str">
        <x:f>IF(D36="","",SUMIFS('Movimentações'!$L$5:$L$504,'Movimentações'!$C$5:$C$504,A36,'Movimentações'!$F$5:$F$504,D36))</x:f>
      </x:c>
      <x:c r="H36" s="53" t="str">
        <x:f>IF(D36="","",F36-G36)</x:f>
      </x:c>
      <x:c r="I36" s="53" t="str">
        <x:f>IF(D36="","",SUMIFS('Movimentações'!$N$5:$N$504,'Movimentações'!$C$5:$C$504,A36,'Movimentações'!$F$5:$F$504,D36)-SUMIFS('Movimentações'!$O$5:$O$504,'Movimentações'!$C$5:$C$504,A36,'Movimentações'!$F$5:$F$504,D36))</x:f>
      </x:c>
      <x:c r="J36" t="str">
        <x:f>IF(D36="","",IF(H36&lt;0,"SALDO NEGATIVO",IF(H36=0,"ESGOTADO","DISPONÍVEL")))</x:f>
      </x:c>
      <x:c r="K36" t="str">
        <x:f>IF(D36="","",IF(H36&lt;0,"REVISAR MOVIMENTAÇÕES",IF(H36&lt;=2,"ESTOQUE BAIXO","OK")))</x:f>
      </x:c>
    </x:row>
    <x:row r="37">
      <x:c r="E37" s="52" t="str">
        <x:f>IF(D37="","",MINIFS('Movimentações'!$A$5:$A$504,'Movimentações'!$C$5:$C$504,A37,'Movimentações'!$F$5:$F$504,D37,'Movimentações'!$B$5:$B$504,"ENTRADA"))</x:f>
      </x:c>
      <x:c r="F37" s="53" t="str">
        <x:f>IF(D37="","",SUMIFS('Movimentações'!$K$5:$K$504,'Movimentações'!$C$5:$C$504,A37,'Movimentações'!$F$5:$F$504,D37))</x:f>
      </x:c>
      <x:c r="G37" s="53" t="str">
        <x:f>IF(D37="","",SUMIFS('Movimentações'!$L$5:$L$504,'Movimentações'!$C$5:$C$504,A37,'Movimentações'!$F$5:$F$504,D37))</x:f>
      </x:c>
      <x:c r="H37" s="53" t="str">
        <x:f>IF(D37="","",F37-G37)</x:f>
      </x:c>
      <x:c r="I37" s="53" t="str">
        <x:f>IF(D37="","",SUMIFS('Movimentações'!$N$5:$N$504,'Movimentações'!$C$5:$C$504,A37,'Movimentações'!$F$5:$F$504,D37)-SUMIFS('Movimentações'!$O$5:$O$504,'Movimentações'!$C$5:$C$504,A37,'Movimentações'!$F$5:$F$504,D37))</x:f>
      </x:c>
      <x:c r="J37" t="str">
        <x:f>IF(D37="","",IF(H37&lt;0,"SALDO NEGATIVO",IF(H37=0,"ESGOTADO","DISPONÍVEL")))</x:f>
      </x:c>
      <x:c r="K37" t="str">
        <x:f>IF(D37="","",IF(H37&lt;0,"REVISAR MOVIMENTAÇÕES",IF(H37&lt;=2,"ESTOQUE BAIXO","OK")))</x:f>
      </x:c>
    </x:row>
    <x:row r="38">
      <x:c r="E38" s="52" t="str">
        <x:f>IF(D38="","",MINIFS('Movimentações'!$A$5:$A$504,'Movimentações'!$C$5:$C$504,A38,'Movimentações'!$F$5:$F$504,D38,'Movimentações'!$B$5:$B$504,"ENTRADA"))</x:f>
      </x:c>
      <x:c r="F38" s="53" t="str">
        <x:f>IF(D38="","",SUMIFS('Movimentações'!$K$5:$K$504,'Movimentações'!$C$5:$C$504,A38,'Movimentações'!$F$5:$F$504,D38))</x:f>
      </x:c>
      <x:c r="G38" s="53" t="str">
        <x:f>IF(D38="","",SUMIFS('Movimentações'!$L$5:$L$504,'Movimentações'!$C$5:$C$504,A38,'Movimentações'!$F$5:$F$504,D38))</x:f>
      </x:c>
      <x:c r="H38" s="53" t="str">
        <x:f>IF(D38="","",F38-G38)</x:f>
      </x:c>
      <x:c r="I38" s="53" t="str">
        <x:f>IF(D38="","",SUMIFS('Movimentações'!$N$5:$N$504,'Movimentações'!$C$5:$C$504,A38,'Movimentações'!$F$5:$F$504,D38)-SUMIFS('Movimentações'!$O$5:$O$504,'Movimentações'!$C$5:$C$504,A38,'Movimentações'!$F$5:$F$504,D38))</x:f>
      </x:c>
      <x:c r="J38" t="str">
        <x:f>IF(D38="","",IF(H38&lt;0,"SALDO NEGATIVO",IF(H38=0,"ESGOTADO","DISPONÍVEL")))</x:f>
      </x:c>
      <x:c r="K38" t="str">
        <x:f>IF(D38="","",IF(H38&lt;0,"REVISAR MOVIMENTAÇÕES",IF(H38&lt;=2,"ESTOQUE BAIXO","OK")))</x:f>
      </x:c>
    </x:row>
    <x:row r="39">
      <x:c r="E39" s="52" t="str">
        <x:f>IF(D39="","",MINIFS('Movimentações'!$A$5:$A$504,'Movimentações'!$C$5:$C$504,A39,'Movimentações'!$F$5:$F$504,D39,'Movimentações'!$B$5:$B$504,"ENTRADA"))</x:f>
      </x:c>
      <x:c r="F39" s="53" t="str">
        <x:f>IF(D39="","",SUMIFS('Movimentações'!$K$5:$K$504,'Movimentações'!$C$5:$C$504,A39,'Movimentações'!$F$5:$F$504,D39))</x:f>
      </x:c>
      <x:c r="G39" s="53" t="str">
        <x:f>IF(D39="","",SUMIFS('Movimentações'!$L$5:$L$504,'Movimentações'!$C$5:$C$504,A39,'Movimentações'!$F$5:$F$504,D39))</x:f>
      </x:c>
      <x:c r="H39" s="53" t="str">
        <x:f>IF(D39="","",F39-G39)</x:f>
      </x:c>
      <x:c r="I39" s="53" t="str">
        <x:f>IF(D39="","",SUMIFS('Movimentações'!$N$5:$N$504,'Movimentações'!$C$5:$C$504,A39,'Movimentações'!$F$5:$F$504,D39)-SUMIFS('Movimentações'!$O$5:$O$504,'Movimentações'!$C$5:$C$504,A39,'Movimentações'!$F$5:$F$504,D39))</x:f>
      </x:c>
      <x:c r="J39" t="str">
        <x:f>IF(D39="","",IF(H39&lt;0,"SALDO NEGATIVO",IF(H39=0,"ESGOTADO","DISPONÍVEL")))</x:f>
      </x:c>
      <x:c r="K39" t="str">
        <x:f>IF(D39="","",IF(H39&lt;0,"REVISAR MOVIMENTAÇÕES",IF(H39&lt;=2,"ESTOQUE BAIXO","OK")))</x:f>
      </x:c>
    </x:row>
    <x:row r="40">
      <x:c r="E40" s="52" t="str">
        <x:f>IF(D40="","",MINIFS('Movimentações'!$A$5:$A$504,'Movimentações'!$C$5:$C$504,A40,'Movimentações'!$F$5:$F$504,D40,'Movimentações'!$B$5:$B$504,"ENTRADA"))</x:f>
      </x:c>
      <x:c r="F40" s="53" t="str">
        <x:f>IF(D40="","",SUMIFS('Movimentações'!$K$5:$K$504,'Movimentações'!$C$5:$C$504,A40,'Movimentações'!$F$5:$F$504,D40))</x:f>
      </x:c>
      <x:c r="G40" s="53" t="str">
        <x:f>IF(D40="","",SUMIFS('Movimentações'!$L$5:$L$504,'Movimentações'!$C$5:$C$504,A40,'Movimentações'!$F$5:$F$504,D40))</x:f>
      </x:c>
      <x:c r="H40" s="53" t="str">
        <x:f>IF(D40="","",F40-G40)</x:f>
      </x:c>
      <x:c r="I40" s="53" t="str">
        <x:f>IF(D40="","",SUMIFS('Movimentações'!$N$5:$N$504,'Movimentações'!$C$5:$C$504,A40,'Movimentações'!$F$5:$F$504,D40)-SUMIFS('Movimentações'!$O$5:$O$504,'Movimentações'!$C$5:$C$504,A40,'Movimentações'!$F$5:$F$504,D40))</x:f>
      </x:c>
      <x:c r="J40" t="str">
        <x:f>IF(D40="","",IF(H40&lt;0,"SALDO NEGATIVO",IF(H40=0,"ESGOTADO","DISPONÍVEL")))</x:f>
      </x:c>
      <x:c r="K40" t="str">
        <x:f>IF(D40="","",IF(H40&lt;0,"REVISAR MOVIMENTAÇÕES",IF(H40&lt;=2,"ESTOQUE BAIXO","OK")))</x:f>
      </x:c>
    </x:row>
    <x:row r="41">
      <x:c r="E41" s="52" t="str">
        <x:f>IF(D41="","",MINIFS('Movimentações'!$A$5:$A$504,'Movimentações'!$C$5:$C$504,A41,'Movimentações'!$F$5:$F$504,D41,'Movimentações'!$B$5:$B$504,"ENTRADA"))</x:f>
      </x:c>
      <x:c r="F41" s="53" t="str">
        <x:f>IF(D41="","",SUMIFS('Movimentações'!$K$5:$K$504,'Movimentações'!$C$5:$C$504,A41,'Movimentações'!$F$5:$F$504,D41))</x:f>
      </x:c>
      <x:c r="G41" s="53" t="str">
        <x:f>IF(D41="","",SUMIFS('Movimentações'!$L$5:$L$504,'Movimentações'!$C$5:$C$504,A41,'Movimentações'!$F$5:$F$504,D41))</x:f>
      </x:c>
      <x:c r="H41" s="53" t="str">
        <x:f>IF(D41="","",F41-G41)</x:f>
      </x:c>
      <x:c r="I41" s="53" t="str">
        <x:f>IF(D41="","",SUMIFS('Movimentações'!$N$5:$N$504,'Movimentações'!$C$5:$C$504,A41,'Movimentações'!$F$5:$F$504,D41)-SUMIFS('Movimentações'!$O$5:$O$504,'Movimentações'!$C$5:$C$504,A41,'Movimentações'!$F$5:$F$504,D41))</x:f>
      </x:c>
      <x:c r="J41" t="str">
        <x:f>IF(D41="","",IF(H41&lt;0,"SALDO NEGATIVO",IF(H41=0,"ESGOTADO","DISPONÍVEL")))</x:f>
      </x:c>
      <x:c r="K41" t="str">
        <x:f>IF(D41="","",IF(H41&lt;0,"REVISAR MOVIMENTAÇÕES",IF(H41&lt;=2,"ESTOQUE BAIXO","OK")))</x:f>
      </x:c>
    </x:row>
    <x:row r="42">
      <x:c r="E42" s="52" t="str">
        <x:f>IF(D42="","",MINIFS('Movimentações'!$A$5:$A$504,'Movimentações'!$C$5:$C$504,A42,'Movimentações'!$F$5:$F$504,D42,'Movimentações'!$B$5:$B$504,"ENTRADA"))</x:f>
      </x:c>
      <x:c r="F42" s="53" t="str">
        <x:f>IF(D42="","",SUMIFS('Movimentações'!$K$5:$K$504,'Movimentações'!$C$5:$C$504,A42,'Movimentações'!$F$5:$F$504,D42))</x:f>
      </x:c>
      <x:c r="G42" s="53" t="str">
        <x:f>IF(D42="","",SUMIFS('Movimentações'!$L$5:$L$504,'Movimentações'!$C$5:$C$504,A42,'Movimentações'!$F$5:$F$504,D42))</x:f>
      </x:c>
      <x:c r="H42" s="53" t="str">
        <x:f>IF(D42="","",F42-G42)</x:f>
      </x:c>
      <x:c r="I42" s="53" t="str">
        <x:f>IF(D42="","",SUMIFS('Movimentações'!$N$5:$N$504,'Movimentações'!$C$5:$C$504,A42,'Movimentações'!$F$5:$F$504,D42)-SUMIFS('Movimentações'!$O$5:$O$504,'Movimentações'!$C$5:$C$504,A42,'Movimentações'!$F$5:$F$504,D42))</x:f>
      </x:c>
      <x:c r="J42" t="str">
        <x:f>IF(D42="","",IF(H42&lt;0,"SALDO NEGATIVO",IF(H42=0,"ESGOTADO","DISPONÍVEL")))</x:f>
      </x:c>
      <x:c r="K42" t="str">
        <x:f>IF(D42="","",IF(H42&lt;0,"REVISAR MOVIMENTAÇÕES",IF(H42&lt;=2,"ESTOQUE BAIXO","OK")))</x:f>
      </x:c>
    </x:row>
    <x:row r="43">
      <x:c r="E43" s="52" t="str">
        <x:f>IF(D43="","",MINIFS('Movimentações'!$A$5:$A$504,'Movimentações'!$C$5:$C$504,A43,'Movimentações'!$F$5:$F$504,D43,'Movimentações'!$B$5:$B$504,"ENTRADA"))</x:f>
      </x:c>
      <x:c r="F43" s="53" t="str">
        <x:f>IF(D43="","",SUMIFS('Movimentações'!$K$5:$K$504,'Movimentações'!$C$5:$C$504,A43,'Movimentações'!$F$5:$F$504,D43))</x:f>
      </x:c>
      <x:c r="G43" s="53" t="str">
        <x:f>IF(D43="","",SUMIFS('Movimentações'!$L$5:$L$504,'Movimentações'!$C$5:$C$504,A43,'Movimentações'!$F$5:$F$504,D43))</x:f>
      </x:c>
      <x:c r="H43" s="53" t="str">
        <x:f>IF(D43="","",F43-G43)</x:f>
      </x:c>
      <x:c r="I43" s="53" t="str">
        <x:f>IF(D43="","",SUMIFS('Movimentações'!$N$5:$N$504,'Movimentações'!$C$5:$C$504,A43,'Movimentações'!$F$5:$F$504,D43)-SUMIFS('Movimentações'!$O$5:$O$504,'Movimentações'!$C$5:$C$504,A43,'Movimentações'!$F$5:$F$504,D43))</x:f>
      </x:c>
      <x:c r="J43" t="str">
        <x:f>IF(D43="","",IF(H43&lt;0,"SALDO NEGATIVO",IF(H43=0,"ESGOTADO","DISPONÍVEL")))</x:f>
      </x:c>
      <x:c r="K43" t="str">
        <x:f>IF(D43="","",IF(H43&lt;0,"REVISAR MOVIMENTAÇÕES",IF(H43&lt;=2,"ESTOQUE BAIXO","OK")))</x:f>
      </x:c>
    </x:row>
    <x:row r="44">
      <x:c r="E44" s="52" t="str">
        <x:f>IF(D44="","",MINIFS('Movimentações'!$A$5:$A$504,'Movimentações'!$C$5:$C$504,A44,'Movimentações'!$F$5:$F$504,D44,'Movimentações'!$B$5:$B$504,"ENTRADA"))</x:f>
      </x:c>
      <x:c r="F44" s="53" t="str">
        <x:f>IF(D44="","",SUMIFS('Movimentações'!$K$5:$K$504,'Movimentações'!$C$5:$C$504,A44,'Movimentações'!$F$5:$F$504,D44))</x:f>
      </x:c>
      <x:c r="G44" s="53" t="str">
        <x:f>IF(D44="","",SUMIFS('Movimentações'!$L$5:$L$504,'Movimentações'!$C$5:$C$504,A44,'Movimentações'!$F$5:$F$504,D44))</x:f>
      </x:c>
      <x:c r="H44" s="53" t="str">
        <x:f>IF(D44="","",F44-G44)</x:f>
      </x:c>
      <x:c r="I44" s="53" t="str">
        <x:f>IF(D44="","",SUMIFS('Movimentações'!$N$5:$N$504,'Movimentações'!$C$5:$C$504,A44,'Movimentações'!$F$5:$F$504,D44)-SUMIFS('Movimentações'!$O$5:$O$504,'Movimentações'!$C$5:$C$504,A44,'Movimentações'!$F$5:$F$504,D44))</x:f>
      </x:c>
      <x:c r="J44" t="str">
        <x:f>IF(D44="","",IF(H44&lt;0,"SALDO NEGATIVO",IF(H44=0,"ESGOTADO","DISPONÍVEL")))</x:f>
      </x:c>
      <x:c r="K44" t="str">
        <x:f>IF(D44="","",IF(H44&lt;0,"REVISAR MOVIMENTAÇÕES",IF(H44&lt;=2,"ESTOQUE BAIXO","OK")))</x:f>
      </x:c>
    </x:row>
    <x:row r="45">
      <x:c r="E45" s="52" t="str">
        <x:f>IF(D45="","",MINIFS('Movimentações'!$A$5:$A$504,'Movimentações'!$C$5:$C$504,A45,'Movimentações'!$F$5:$F$504,D45,'Movimentações'!$B$5:$B$504,"ENTRADA"))</x:f>
      </x:c>
      <x:c r="F45" s="53" t="str">
        <x:f>IF(D45="","",SUMIFS('Movimentações'!$K$5:$K$504,'Movimentações'!$C$5:$C$504,A45,'Movimentações'!$F$5:$F$504,D45))</x:f>
      </x:c>
      <x:c r="G45" s="53" t="str">
        <x:f>IF(D45="","",SUMIFS('Movimentações'!$L$5:$L$504,'Movimentações'!$C$5:$C$504,A45,'Movimentações'!$F$5:$F$504,D45))</x:f>
      </x:c>
      <x:c r="H45" s="53" t="str">
        <x:f>IF(D45="","",F45-G45)</x:f>
      </x:c>
      <x:c r="I45" s="53" t="str">
        <x:f>IF(D45="","",SUMIFS('Movimentações'!$N$5:$N$504,'Movimentações'!$C$5:$C$504,A45,'Movimentações'!$F$5:$F$504,D45)-SUMIFS('Movimentações'!$O$5:$O$504,'Movimentações'!$C$5:$C$504,A45,'Movimentações'!$F$5:$F$504,D45))</x:f>
      </x:c>
      <x:c r="J45" t="str">
        <x:f>IF(D45="","",IF(H45&lt;0,"SALDO NEGATIVO",IF(H45=0,"ESGOTADO","DISPONÍVEL")))</x:f>
      </x:c>
      <x:c r="K45" t="str">
        <x:f>IF(D45="","",IF(H45&lt;0,"REVISAR MOVIMENTAÇÕES",IF(H45&lt;=2,"ESTOQUE BAIXO","OK")))</x:f>
      </x:c>
    </x:row>
    <x:row r="46">
      <x:c r="E46" s="52" t="str">
        <x:f>IF(D46="","",MINIFS('Movimentações'!$A$5:$A$504,'Movimentações'!$C$5:$C$504,A46,'Movimentações'!$F$5:$F$504,D46,'Movimentações'!$B$5:$B$504,"ENTRADA"))</x:f>
      </x:c>
      <x:c r="F46" s="53" t="str">
        <x:f>IF(D46="","",SUMIFS('Movimentações'!$K$5:$K$504,'Movimentações'!$C$5:$C$504,A46,'Movimentações'!$F$5:$F$504,D46))</x:f>
      </x:c>
      <x:c r="G46" s="53" t="str">
        <x:f>IF(D46="","",SUMIFS('Movimentações'!$L$5:$L$504,'Movimentações'!$C$5:$C$504,A46,'Movimentações'!$F$5:$F$504,D46))</x:f>
      </x:c>
      <x:c r="H46" s="53" t="str">
        <x:f>IF(D46="","",F46-G46)</x:f>
      </x:c>
      <x:c r="I46" s="53" t="str">
        <x:f>IF(D46="","",SUMIFS('Movimentações'!$N$5:$N$504,'Movimentações'!$C$5:$C$504,A46,'Movimentações'!$F$5:$F$504,D46)-SUMIFS('Movimentações'!$O$5:$O$504,'Movimentações'!$C$5:$C$504,A46,'Movimentações'!$F$5:$F$504,D46))</x:f>
      </x:c>
      <x:c r="J46" t="str">
        <x:f>IF(D46="","",IF(H46&lt;0,"SALDO NEGATIVO",IF(H46=0,"ESGOTADO","DISPONÍVEL")))</x:f>
      </x:c>
      <x:c r="K46" t="str">
        <x:f>IF(D46="","",IF(H46&lt;0,"REVISAR MOVIMENTAÇÕES",IF(H46&lt;=2,"ESTOQUE BAIXO","OK")))</x:f>
      </x:c>
    </x:row>
    <x:row r="47">
      <x:c r="E47" s="52" t="str">
        <x:f>IF(D47="","",MINIFS('Movimentações'!$A$5:$A$504,'Movimentações'!$C$5:$C$504,A47,'Movimentações'!$F$5:$F$504,D47,'Movimentações'!$B$5:$B$504,"ENTRADA"))</x:f>
      </x:c>
      <x:c r="F47" s="53" t="str">
        <x:f>IF(D47="","",SUMIFS('Movimentações'!$K$5:$K$504,'Movimentações'!$C$5:$C$504,A47,'Movimentações'!$F$5:$F$504,D47))</x:f>
      </x:c>
      <x:c r="G47" s="53" t="str">
        <x:f>IF(D47="","",SUMIFS('Movimentações'!$L$5:$L$504,'Movimentações'!$C$5:$C$504,A47,'Movimentações'!$F$5:$F$504,D47))</x:f>
      </x:c>
      <x:c r="H47" s="53" t="str">
        <x:f>IF(D47="","",F47-G47)</x:f>
      </x:c>
      <x:c r="I47" s="53" t="str">
        <x:f>IF(D47="","",SUMIFS('Movimentações'!$N$5:$N$504,'Movimentações'!$C$5:$C$504,A47,'Movimentações'!$F$5:$F$504,D47)-SUMIFS('Movimentações'!$O$5:$O$504,'Movimentações'!$C$5:$C$504,A47,'Movimentações'!$F$5:$F$504,D47))</x:f>
      </x:c>
      <x:c r="J47" t="str">
        <x:f>IF(D47="","",IF(H47&lt;0,"SALDO NEGATIVO",IF(H47=0,"ESGOTADO","DISPONÍVEL")))</x:f>
      </x:c>
      <x:c r="K47" t="str">
        <x:f>IF(D47="","",IF(H47&lt;0,"REVISAR MOVIMENTAÇÕES",IF(H47&lt;=2,"ESTOQUE BAIXO","OK")))</x:f>
      </x:c>
    </x:row>
    <x:row r="48">
      <x:c r="E48" s="52" t="str">
        <x:f>IF(D48="","",MINIFS('Movimentações'!$A$5:$A$504,'Movimentações'!$C$5:$C$504,A48,'Movimentações'!$F$5:$F$504,D48,'Movimentações'!$B$5:$B$504,"ENTRADA"))</x:f>
      </x:c>
      <x:c r="F48" s="53" t="str">
        <x:f>IF(D48="","",SUMIFS('Movimentações'!$K$5:$K$504,'Movimentações'!$C$5:$C$504,A48,'Movimentações'!$F$5:$F$504,D48))</x:f>
      </x:c>
      <x:c r="G48" s="53" t="str">
        <x:f>IF(D48="","",SUMIFS('Movimentações'!$L$5:$L$504,'Movimentações'!$C$5:$C$504,A48,'Movimentações'!$F$5:$F$504,D48))</x:f>
      </x:c>
      <x:c r="H48" s="53" t="str">
        <x:f>IF(D48="","",F48-G48)</x:f>
      </x:c>
      <x:c r="I48" s="53" t="str">
        <x:f>IF(D48="","",SUMIFS('Movimentações'!$N$5:$N$504,'Movimentações'!$C$5:$C$504,A48,'Movimentações'!$F$5:$F$504,D48)-SUMIFS('Movimentações'!$O$5:$O$504,'Movimentações'!$C$5:$C$504,A48,'Movimentações'!$F$5:$F$504,D48))</x:f>
      </x:c>
      <x:c r="J48" t="str">
        <x:f>IF(D48="","",IF(H48&lt;0,"SALDO NEGATIVO",IF(H48=0,"ESGOTADO","DISPONÍVEL")))</x:f>
      </x:c>
      <x:c r="K48" t="str">
        <x:f>IF(D48="","",IF(H48&lt;0,"REVISAR MOVIMENTAÇÕES",IF(H48&lt;=2,"ESTOQUE BAIXO","OK")))</x:f>
      </x:c>
    </x:row>
    <x:row r="49">
      <x:c r="E49" s="52" t="str">
        <x:f>IF(D49="","",MINIFS('Movimentações'!$A$5:$A$504,'Movimentações'!$C$5:$C$504,A49,'Movimentações'!$F$5:$F$504,D49,'Movimentações'!$B$5:$B$504,"ENTRADA"))</x:f>
      </x:c>
      <x:c r="F49" s="53" t="str">
        <x:f>IF(D49="","",SUMIFS('Movimentações'!$K$5:$K$504,'Movimentações'!$C$5:$C$504,A49,'Movimentações'!$F$5:$F$504,D49))</x:f>
      </x:c>
      <x:c r="G49" s="53" t="str">
        <x:f>IF(D49="","",SUMIFS('Movimentações'!$L$5:$L$504,'Movimentações'!$C$5:$C$504,A49,'Movimentações'!$F$5:$F$504,D49))</x:f>
      </x:c>
      <x:c r="H49" s="53" t="str">
        <x:f>IF(D49="","",F49-G49)</x:f>
      </x:c>
      <x:c r="I49" s="53" t="str">
        <x:f>IF(D49="","",SUMIFS('Movimentações'!$N$5:$N$504,'Movimentações'!$C$5:$C$504,A49,'Movimentações'!$F$5:$F$504,D49)-SUMIFS('Movimentações'!$O$5:$O$504,'Movimentações'!$C$5:$C$504,A49,'Movimentações'!$F$5:$F$504,D49))</x:f>
      </x:c>
      <x:c r="J49" t="str">
        <x:f>IF(D49="","",IF(H49&lt;0,"SALDO NEGATIVO",IF(H49=0,"ESGOTADO","DISPONÍVEL")))</x:f>
      </x:c>
      <x:c r="K49" t="str">
        <x:f>IF(D49="","",IF(H49&lt;0,"REVISAR MOVIMENTAÇÕES",IF(H49&lt;=2,"ESTOQUE BAIXO","OK")))</x:f>
      </x:c>
    </x:row>
    <x:row r="50">
      <x:c r="E50" s="52" t="str">
        <x:f>IF(D50="","",MINIFS('Movimentações'!$A$5:$A$504,'Movimentações'!$C$5:$C$504,A50,'Movimentações'!$F$5:$F$504,D50,'Movimentações'!$B$5:$B$504,"ENTRADA"))</x:f>
      </x:c>
      <x:c r="F50" s="53" t="str">
        <x:f>IF(D50="","",SUMIFS('Movimentações'!$K$5:$K$504,'Movimentações'!$C$5:$C$504,A50,'Movimentações'!$F$5:$F$504,D50))</x:f>
      </x:c>
      <x:c r="G50" s="53" t="str">
        <x:f>IF(D50="","",SUMIFS('Movimentações'!$L$5:$L$504,'Movimentações'!$C$5:$C$504,A50,'Movimentações'!$F$5:$F$504,D50))</x:f>
      </x:c>
      <x:c r="H50" s="53" t="str">
        <x:f>IF(D50="","",F50-G50)</x:f>
      </x:c>
      <x:c r="I50" s="53" t="str">
        <x:f>IF(D50="","",SUMIFS('Movimentações'!$N$5:$N$504,'Movimentações'!$C$5:$C$504,A50,'Movimentações'!$F$5:$F$504,D50)-SUMIFS('Movimentações'!$O$5:$O$504,'Movimentações'!$C$5:$C$504,A50,'Movimentações'!$F$5:$F$504,D50))</x:f>
      </x:c>
      <x:c r="J50" t="str">
        <x:f>IF(D50="","",IF(H50&lt;0,"SALDO NEGATIVO",IF(H50=0,"ESGOTADO","DISPONÍVEL")))</x:f>
      </x:c>
      <x:c r="K50" t="str">
        <x:f>IF(D50="","",IF(H50&lt;0,"REVISAR MOVIMENTAÇÕES",IF(H50&lt;=2,"ESTOQUE BAIXO","OK")))</x:f>
      </x:c>
    </x:row>
    <x:row r="51">
      <x:c r="E51" s="52" t="str">
        <x:f>IF(D51="","",MINIFS('Movimentações'!$A$5:$A$504,'Movimentações'!$C$5:$C$504,A51,'Movimentações'!$F$5:$F$504,D51,'Movimentações'!$B$5:$B$504,"ENTRADA"))</x:f>
      </x:c>
      <x:c r="F51" s="53" t="str">
        <x:f>IF(D51="","",SUMIFS('Movimentações'!$K$5:$K$504,'Movimentações'!$C$5:$C$504,A51,'Movimentações'!$F$5:$F$504,D51))</x:f>
      </x:c>
      <x:c r="G51" s="53" t="str">
        <x:f>IF(D51="","",SUMIFS('Movimentações'!$L$5:$L$504,'Movimentações'!$C$5:$C$504,A51,'Movimentações'!$F$5:$F$504,D51))</x:f>
      </x:c>
      <x:c r="H51" s="53" t="str">
        <x:f>IF(D51="","",F51-G51)</x:f>
      </x:c>
      <x:c r="I51" s="53" t="str">
        <x:f>IF(D51="","",SUMIFS('Movimentações'!$N$5:$N$504,'Movimentações'!$C$5:$C$504,A51,'Movimentações'!$F$5:$F$504,D51)-SUMIFS('Movimentações'!$O$5:$O$504,'Movimentações'!$C$5:$C$504,A51,'Movimentações'!$F$5:$F$504,D51))</x:f>
      </x:c>
      <x:c r="J51" t="str">
        <x:f>IF(D51="","",IF(H51&lt;0,"SALDO NEGATIVO",IF(H51=0,"ESGOTADO","DISPONÍVEL")))</x:f>
      </x:c>
      <x:c r="K51" t="str">
        <x:f>IF(D51="","",IF(H51&lt;0,"REVISAR MOVIMENTAÇÕES",IF(H51&lt;=2,"ESTOQUE BAIXO","OK")))</x:f>
      </x:c>
    </x:row>
    <x:row r="52">
      <x:c r="E52" s="52" t="str">
        <x:f>IF(D52="","",MINIFS('Movimentações'!$A$5:$A$504,'Movimentações'!$C$5:$C$504,A52,'Movimentações'!$F$5:$F$504,D52,'Movimentações'!$B$5:$B$504,"ENTRADA"))</x:f>
      </x:c>
      <x:c r="F52" s="53" t="str">
        <x:f>IF(D52="","",SUMIFS('Movimentações'!$K$5:$K$504,'Movimentações'!$C$5:$C$504,A52,'Movimentações'!$F$5:$F$504,D52))</x:f>
      </x:c>
      <x:c r="G52" s="53" t="str">
        <x:f>IF(D52="","",SUMIFS('Movimentações'!$L$5:$L$504,'Movimentações'!$C$5:$C$504,A52,'Movimentações'!$F$5:$F$504,D52))</x:f>
      </x:c>
      <x:c r="H52" s="53" t="str">
        <x:f>IF(D52="","",F52-G52)</x:f>
      </x:c>
      <x:c r="I52" s="53" t="str">
        <x:f>IF(D52="","",SUMIFS('Movimentações'!$N$5:$N$504,'Movimentações'!$C$5:$C$504,A52,'Movimentações'!$F$5:$F$504,D52)-SUMIFS('Movimentações'!$O$5:$O$504,'Movimentações'!$C$5:$C$504,A52,'Movimentações'!$F$5:$F$504,D52))</x:f>
      </x:c>
      <x:c r="J52" t="str">
        <x:f>IF(D52="","",IF(H52&lt;0,"SALDO NEGATIVO",IF(H52=0,"ESGOTADO","DISPONÍVEL")))</x:f>
      </x:c>
      <x:c r="K52" t="str">
        <x:f>IF(D52="","",IF(H52&lt;0,"REVISAR MOVIMENTAÇÕES",IF(H52&lt;=2,"ESTOQUE BAIXO","OK")))</x:f>
      </x:c>
    </x:row>
    <x:row r="53">
      <x:c r="E53" s="52" t="str">
        <x:f>IF(D53="","",MINIFS('Movimentações'!$A$5:$A$504,'Movimentações'!$C$5:$C$504,A53,'Movimentações'!$F$5:$F$504,D53,'Movimentações'!$B$5:$B$504,"ENTRADA"))</x:f>
      </x:c>
      <x:c r="F53" s="53" t="str">
        <x:f>IF(D53="","",SUMIFS('Movimentações'!$K$5:$K$504,'Movimentações'!$C$5:$C$504,A53,'Movimentações'!$F$5:$F$504,D53))</x:f>
      </x:c>
      <x:c r="G53" s="53" t="str">
        <x:f>IF(D53="","",SUMIFS('Movimentações'!$L$5:$L$504,'Movimentações'!$C$5:$C$504,A53,'Movimentações'!$F$5:$F$504,D53))</x:f>
      </x:c>
      <x:c r="H53" s="53" t="str">
        <x:f>IF(D53="","",F53-G53)</x:f>
      </x:c>
      <x:c r="I53" s="53" t="str">
        <x:f>IF(D53="","",SUMIFS('Movimentações'!$N$5:$N$504,'Movimentações'!$C$5:$C$504,A53,'Movimentações'!$F$5:$F$504,D53)-SUMIFS('Movimentações'!$O$5:$O$504,'Movimentações'!$C$5:$C$504,A53,'Movimentações'!$F$5:$F$504,D53))</x:f>
      </x:c>
      <x:c r="J53" t="str">
        <x:f>IF(D53="","",IF(H53&lt;0,"SALDO NEGATIVO",IF(H53=0,"ESGOTADO","DISPONÍVEL")))</x:f>
      </x:c>
      <x:c r="K53" t="str">
        <x:f>IF(D53="","",IF(H53&lt;0,"REVISAR MOVIMENTAÇÕES",IF(H53&lt;=2,"ESTOQUE BAIXO","OK")))</x:f>
      </x:c>
    </x:row>
    <x:row r="54">
      <x:c r="E54" s="52" t="str">
        <x:f>IF(D54="","",MINIFS('Movimentações'!$A$5:$A$504,'Movimentações'!$C$5:$C$504,A54,'Movimentações'!$F$5:$F$504,D54,'Movimentações'!$B$5:$B$504,"ENTRADA"))</x:f>
      </x:c>
      <x:c r="F54" s="53" t="str">
        <x:f>IF(D54="","",SUMIFS('Movimentações'!$K$5:$K$504,'Movimentações'!$C$5:$C$504,A54,'Movimentações'!$F$5:$F$504,D54))</x:f>
      </x:c>
      <x:c r="G54" s="53" t="str">
        <x:f>IF(D54="","",SUMIFS('Movimentações'!$L$5:$L$504,'Movimentações'!$C$5:$C$504,A54,'Movimentações'!$F$5:$F$504,D54))</x:f>
      </x:c>
      <x:c r="H54" s="53" t="str">
        <x:f>IF(D54="","",F54-G54)</x:f>
      </x:c>
      <x:c r="I54" s="53" t="str">
        <x:f>IF(D54="","",SUMIFS('Movimentações'!$N$5:$N$504,'Movimentações'!$C$5:$C$504,A54,'Movimentações'!$F$5:$F$504,D54)-SUMIFS('Movimentações'!$O$5:$O$504,'Movimentações'!$C$5:$C$504,A54,'Movimentações'!$F$5:$F$504,D54))</x:f>
      </x:c>
      <x:c r="J54" t="str">
        <x:f>IF(D54="","",IF(H54&lt;0,"SALDO NEGATIVO",IF(H54=0,"ESGOTADO","DISPONÍVEL")))</x:f>
      </x:c>
      <x:c r="K54" t="str">
        <x:f>IF(D54="","",IF(H54&lt;0,"REVISAR MOVIMENTAÇÕES",IF(H54&lt;=2,"ESTOQUE BAIXO","OK")))</x:f>
      </x:c>
    </x:row>
    <x:row r="55">
      <x:c r="E55" s="52" t="str">
        <x:f>IF(D55="","",MINIFS('Movimentações'!$A$5:$A$504,'Movimentações'!$C$5:$C$504,A55,'Movimentações'!$F$5:$F$504,D55,'Movimentações'!$B$5:$B$504,"ENTRADA"))</x:f>
      </x:c>
      <x:c r="F55" s="53" t="str">
        <x:f>IF(D55="","",SUMIFS('Movimentações'!$K$5:$K$504,'Movimentações'!$C$5:$C$504,A55,'Movimentações'!$F$5:$F$504,D55))</x:f>
      </x:c>
      <x:c r="G55" s="53" t="str">
        <x:f>IF(D55="","",SUMIFS('Movimentações'!$L$5:$L$504,'Movimentações'!$C$5:$C$504,A55,'Movimentações'!$F$5:$F$504,D55))</x:f>
      </x:c>
      <x:c r="H55" s="53" t="str">
        <x:f>IF(D55="","",F55-G55)</x:f>
      </x:c>
      <x:c r="I55" s="53" t="str">
        <x:f>IF(D55="","",SUMIFS('Movimentações'!$N$5:$N$504,'Movimentações'!$C$5:$C$504,A55,'Movimentações'!$F$5:$F$504,D55)-SUMIFS('Movimentações'!$O$5:$O$504,'Movimentações'!$C$5:$C$504,A55,'Movimentações'!$F$5:$F$504,D55))</x:f>
      </x:c>
      <x:c r="J55" t="str">
        <x:f>IF(D55="","",IF(H55&lt;0,"SALDO NEGATIVO",IF(H55=0,"ESGOTADO","DISPONÍVEL")))</x:f>
      </x:c>
      <x:c r="K55" t="str">
        <x:f>IF(D55="","",IF(H55&lt;0,"REVISAR MOVIMENTAÇÕES",IF(H55&lt;=2,"ESTOQUE BAIXO","OK")))</x:f>
      </x:c>
    </x:row>
    <x:row r="56">
      <x:c r="E56" s="52" t="str">
        <x:f>IF(D56="","",MINIFS('Movimentações'!$A$5:$A$504,'Movimentações'!$C$5:$C$504,A56,'Movimentações'!$F$5:$F$504,D56,'Movimentações'!$B$5:$B$504,"ENTRADA"))</x:f>
      </x:c>
      <x:c r="F56" s="53" t="str">
        <x:f>IF(D56="","",SUMIFS('Movimentações'!$K$5:$K$504,'Movimentações'!$C$5:$C$504,A56,'Movimentações'!$F$5:$F$504,D56))</x:f>
      </x:c>
      <x:c r="G56" s="53" t="str">
        <x:f>IF(D56="","",SUMIFS('Movimentações'!$L$5:$L$504,'Movimentações'!$C$5:$C$504,A56,'Movimentações'!$F$5:$F$504,D56))</x:f>
      </x:c>
      <x:c r="H56" s="53" t="str">
        <x:f>IF(D56="","",F56-G56)</x:f>
      </x:c>
      <x:c r="I56" s="53" t="str">
        <x:f>IF(D56="","",SUMIFS('Movimentações'!$N$5:$N$504,'Movimentações'!$C$5:$C$504,A56,'Movimentações'!$F$5:$F$504,D56)-SUMIFS('Movimentações'!$O$5:$O$504,'Movimentações'!$C$5:$C$504,A56,'Movimentações'!$F$5:$F$504,D56))</x:f>
      </x:c>
      <x:c r="J56" t="str">
        <x:f>IF(D56="","",IF(H56&lt;0,"SALDO NEGATIVO",IF(H56=0,"ESGOTADO","DISPONÍVEL")))</x:f>
      </x:c>
      <x:c r="K56" t="str">
        <x:f>IF(D56="","",IF(H56&lt;0,"REVISAR MOVIMENTAÇÕES",IF(H56&lt;=2,"ESTOQUE BAIXO","OK")))</x:f>
      </x:c>
    </x:row>
    <x:row r="57">
      <x:c r="E57" s="52" t="str">
        <x:f>IF(D57="","",MINIFS('Movimentações'!$A$5:$A$504,'Movimentações'!$C$5:$C$504,A57,'Movimentações'!$F$5:$F$504,D57,'Movimentações'!$B$5:$B$504,"ENTRADA"))</x:f>
      </x:c>
      <x:c r="F57" s="53" t="str">
        <x:f>IF(D57="","",SUMIFS('Movimentações'!$K$5:$K$504,'Movimentações'!$C$5:$C$504,A57,'Movimentações'!$F$5:$F$504,D57))</x:f>
      </x:c>
      <x:c r="G57" s="53" t="str">
        <x:f>IF(D57="","",SUMIFS('Movimentações'!$L$5:$L$504,'Movimentações'!$C$5:$C$504,A57,'Movimentações'!$F$5:$F$504,D57))</x:f>
      </x:c>
      <x:c r="H57" s="53" t="str">
        <x:f>IF(D57="","",F57-G57)</x:f>
      </x:c>
      <x:c r="I57" s="53" t="str">
        <x:f>IF(D57="","",SUMIFS('Movimentações'!$N$5:$N$504,'Movimentações'!$C$5:$C$504,A57,'Movimentações'!$F$5:$F$504,D57)-SUMIFS('Movimentações'!$O$5:$O$504,'Movimentações'!$C$5:$C$504,A57,'Movimentações'!$F$5:$F$504,D57))</x:f>
      </x:c>
      <x:c r="J57" t="str">
        <x:f>IF(D57="","",IF(H57&lt;0,"SALDO NEGATIVO",IF(H57=0,"ESGOTADO","DISPONÍVEL")))</x:f>
      </x:c>
      <x:c r="K57" t="str">
        <x:f>IF(D57="","",IF(H57&lt;0,"REVISAR MOVIMENTAÇÕES",IF(H57&lt;=2,"ESTOQUE BAIXO","OK")))</x:f>
      </x:c>
    </x:row>
    <x:row r="58">
      <x:c r="E58" s="52" t="str">
        <x:f>IF(D58="","",MINIFS('Movimentações'!$A$5:$A$504,'Movimentações'!$C$5:$C$504,A58,'Movimentações'!$F$5:$F$504,D58,'Movimentações'!$B$5:$B$504,"ENTRADA"))</x:f>
      </x:c>
      <x:c r="F58" s="53" t="str">
        <x:f>IF(D58="","",SUMIFS('Movimentações'!$K$5:$K$504,'Movimentações'!$C$5:$C$504,A58,'Movimentações'!$F$5:$F$504,D58))</x:f>
      </x:c>
      <x:c r="G58" s="53" t="str">
        <x:f>IF(D58="","",SUMIFS('Movimentações'!$L$5:$L$504,'Movimentações'!$C$5:$C$504,A58,'Movimentações'!$F$5:$F$504,D58))</x:f>
      </x:c>
      <x:c r="H58" s="53" t="str">
        <x:f>IF(D58="","",F58-G58)</x:f>
      </x:c>
      <x:c r="I58" s="53" t="str">
        <x:f>IF(D58="","",SUMIFS('Movimentações'!$N$5:$N$504,'Movimentações'!$C$5:$C$504,A58,'Movimentações'!$F$5:$F$504,D58)-SUMIFS('Movimentações'!$O$5:$O$504,'Movimentações'!$C$5:$C$504,A58,'Movimentações'!$F$5:$F$504,D58))</x:f>
      </x:c>
      <x:c r="J58" t="str">
        <x:f>IF(D58="","",IF(H58&lt;0,"SALDO NEGATIVO",IF(H58=0,"ESGOTADO","DISPONÍVEL")))</x:f>
      </x:c>
      <x:c r="K58" t="str">
        <x:f>IF(D58="","",IF(H58&lt;0,"REVISAR MOVIMENTAÇÕES",IF(H58&lt;=2,"ESTOQUE BAIXO","OK")))</x:f>
      </x:c>
    </x:row>
    <x:row r="59">
      <x:c r="E59" s="52" t="str">
        <x:f>IF(D59="","",MINIFS('Movimentações'!$A$5:$A$504,'Movimentações'!$C$5:$C$504,A59,'Movimentações'!$F$5:$F$504,D59,'Movimentações'!$B$5:$B$504,"ENTRADA"))</x:f>
      </x:c>
      <x:c r="F59" s="53" t="str">
        <x:f>IF(D59="","",SUMIFS('Movimentações'!$K$5:$K$504,'Movimentações'!$C$5:$C$504,A59,'Movimentações'!$F$5:$F$504,D59))</x:f>
      </x:c>
      <x:c r="G59" s="53" t="str">
        <x:f>IF(D59="","",SUMIFS('Movimentações'!$L$5:$L$504,'Movimentações'!$C$5:$C$504,A59,'Movimentações'!$F$5:$F$504,D59))</x:f>
      </x:c>
      <x:c r="H59" s="53" t="str">
        <x:f>IF(D59="","",F59-G59)</x:f>
      </x:c>
      <x:c r="I59" s="53" t="str">
        <x:f>IF(D59="","",SUMIFS('Movimentações'!$N$5:$N$504,'Movimentações'!$C$5:$C$504,A59,'Movimentações'!$F$5:$F$504,D59)-SUMIFS('Movimentações'!$O$5:$O$504,'Movimentações'!$C$5:$C$504,A59,'Movimentações'!$F$5:$F$504,D59))</x:f>
      </x:c>
      <x:c r="J59" t="str">
        <x:f>IF(D59="","",IF(H59&lt;0,"SALDO NEGATIVO",IF(H59=0,"ESGOTADO","DISPONÍVEL")))</x:f>
      </x:c>
      <x:c r="K59" t="str">
        <x:f>IF(D59="","",IF(H59&lt;0,"REVISAR MOVIMENTAÇÕES",IF(H59&lt;=2,"ESTOQUE BAIXO","OK")))</x:f>
      </x:c>
    </x:row>
    <x:row r="60">
      <x:c r="E60" s="52" t="str">
        <x:f>IF(D60="","",MINIFS('Movimentações'!$A$5:$A$504,'Movimentações'!$C$5:$C$504,A60,'Movimentações'!$F$5:$F$504,D60,'Movimentações'!$B$5:$B$504,"ENTRADA"))</x:f>
      </x:c>
      <x:c r="F60" s="53" t="str">
        <x:f>IF(D60="","",SUMIFS('Movimentações'!$K$5:$K$504,'Movimentações'!$C$5:$C$504,A60,'Movimentações'!$F$5:$F$504,D60))</x:f>
      </x:c>
      <x:c r="G60" s="53" t="str">
        <x:f>IF(D60="","",SUMIFS('Movimentações'!$L$5:$L$504,'Movimentações'!$C$5:$C$504,A60,'Movimentações'!$F$5:$F$504,D60))</x:f>
      </x:c>
      <x:c r="H60" s="53" t="str">
        <x:f>IF(D60="","",F60-G60)</x:f>
      </x:c>
      <x:c r="I60" s="53" t="str">
        <x:f>IF(D60="","",SUMIFS('Movimentações'!$N$5:$N$504,'Movimentações'!$C$5:$C$504,A60,'Movimentações'!$F$5:$F$504,D60)-SUMIFS('Movimentações'!$O$5:$O$504,'Movimentações'!$C$5:$C$504,A60,'Movimentações'!$F$5:$F$504,D60))</x:f>
      </x:c>
      <x:c r="J60" t="str">
        <x:f>IF(D60="","",IF(H60&lt;0,"SALDO NEGATIVO",IF(H60=0,"ESGOTADO","DISPONÍVEL")))</x:f>
      </x:c>
      <x:c r="K60" t="str">
        <x:f>IF(D60="","",IF(H60&lt;0,"REVISAR MOVIMENTAÇÕES",IF(H60&lt;=2,"ESTOQUE BAIXO","OK")))</x:f>
      </x:c>
    </x:row>
    <x:row r="61">
      <x:c r="E61" s="52" t="str">
        <x:f>IF(D61="","",MINIFS('Movimentações'!$A$5:$A$504,'Movimentações'!$C$5:$C$504,A61,'Movimentações'!$F$5:$F$504,D61,'Movimentações'!$B$5:$B$504,"ENTRADA"))</x:f>
      </x:c>
      <x:c r="F61" s="53" t="str">
        <x:f>IF(D61="","",SUMIFS('Movimentações'!$K$5:$K$504,'Movimentações'!$C$5:$C$504,A61,'Movimentações'!$F$5:$F$504,D61))</x:f>
      </x:c>
      <x:c r="G61" s="53" t="str">
        <x:f>IF(D61="","",SUMIFS('Movimentações'!$L$5:$L$504,'Movimentações'!$C$5:$C$504,A61,'Movimentações'!$F$5:$F$504,D61))</x:f>
      </x:c>
      <x:c r="H61" s="53" t="str">
        <x:f>IF(D61="","",F61-G61)</x:f>
      </x:c>
      <x:c r="I61" s="53" t="str">
        <x:f>IF(D61="","",SUMIFS('Movimentações'!$N$5:$N$504,'Movimentações'!$C$5:$C$504,A61,'Movimentações'!$F$5:$F$504,D61)-SUMIFS('Movimentações'!$O$5:$O$504,'Movimentações'!$C$5:$C$504,A61,'Movimentações'!$F$5:$F$504,D61))</x:f>
      </x:c>
      <x:c r="J61" t="str">
        <x:f>IF(D61="","",IF(H61&lt;0,"SALDO NEGATIVO",IF(H61=0,"ESGOTADO","DISPONÍVEL")))</x:f>
      </x:c>
      <x:c r="K61" t="str">
        <x:f>IF(D61="","",IF(H61&lt;0,"REVISAR MOVIMENTAÇÕES",IF(H61&lt;=2,"ESTOQUE BAIXO","OK")))</x:f>
      </x:c>
    </x:row>
    <x:row r="62">
      <x:c r="E62" s="52" t="str">
        <x:f>IF(D62="","",MINIFS('Movimentações'!$A$5:$A$504,'Movimentações'!$C$5:$C$504,A62,'Movimentações'!$F$5:$F$504,D62,'Movimentações'!$B$5:$B$504,"ENTRADA"))</x:f>
      </x:c>
      <x:c r="F62" s="53" t="str">
        <x:f>IF(D62="","",SUMIFS('Movimentações'!$K$5:$K$504,'Movimentações'!$C$5:$C$504,A62,'Movimentações'!$F$5:$F$504,D62))</x:f>
      </x:c>
      <x:c r="G62" s="53" t="str">
        <x:f>IF(D62="","",SUMIFS('Movimentações'!$L$5:$L$504,'Movimentações'!$C$5:$C$504,A62,'Movimentações'!$F$5:$F$504,D62))</x:f>
      </x:c>
      <x:c r="H62" s="53" t="str">
        <x:f>IF(D62="","",F62-G62)</x:f>
      </x:c>
      <x:c r="I62" s="53" t="str">
        <x:f>IF(D62="","",SUMIFS('Movimentações'!$N$5:$N$504,'Movimentações'!$C$5:$C$504,A62,'Movimentações'!$F$5:$F$504,D62)-SUMIFS('Movimentações'!$O$5:$O$504,'Movimentações'!$C$5:$C$504,A62,'Movimentações'!$F$5:$F$504,D62))</x:f>
      </x:c>
      <x:c r="J62" t="str">
        <x:f>IF(D62="","",IF(H62&lt;0,"SALDO NEGATIVO",IF(H62=0,"ESGOTADO","DISPONÍVEL")))</x:f>
      </x:c>
      <x:c r="K62" t="str">
        <x:f>IF(D62="","",IF(H62&lt;0,"REVISAR MOVIMENTAÇÕES",IF(H62&lt;=2,"ESTOQUE BAIXO","OK")))</x:f>
      </x:c>
    </x:row>
    <x:row r="63">
      <x:c r="E63" s="52" t="str">
        <x:f>IF(D63="","",MINIFS('Movimentações'!$A$5:$A$504,'Movimentações'!$C$5:$C$504,A63,'Movimentações'!$F$5:$F$504,D63,'Movimentações'!$B$5:$B$504,"ENTRADA"))</x:f>
      </x:c>
      <x:c r="F63" s="53" t="str">
        <x:f>IF(D63="","",SUMIFS('Movimentações'!$K$5:$K$504,'Movimentações'!$C$5:$C$504,A63,'Movimentações'!$F$5:$F$504,D63))</x:f>
      </x:c>
      <x:c r="G63" s="53" t="str">
        <x:f>IF(D63="","",SUMIFS('Movimentações'!$L$5:$L$504,'Movimentações'!$C$5:$C$504,A63,'Movimentações'!$F$5:$F$504,D63))</x:f>
      </x:c>
      <x:c r="H63" s="53" t="str">
        <x:f>IF(D63="","",F63-G63)</x:f>
      </x:c>
      <x:c r="I63" s="53" t="str">
        <x:f>IF(D63="","",SUMIFS('Movimentações'!$N$5:$N$504,'Movimentações'!$C$5:$C$504,A63,'Movimentações'!$F$5:$F$504,D63)-SUMIFS('Movimentações'!$O$5:$O$504,'Movimentações'!$C$5:$C$504,A63,'Movimentações'!$F$5:$F$504,D63))</x:f>
      </x:c>
      <x:c r="J63" t="str">
        <x:f>IF(D63="","",IF(H63&lt;0,"SALDO NEGATIVO",IF(H63=0,"ESGOTADO","DISPONÍVEL")))</x:f>
      </x:c>
      <x:c r="K63" t="str">
        <x:f>IF(D63="","",IF(H63&lt;0,"REVISAR MOVIMENTAÇÕES",IF(H63&lt;=2,"ESTOQUE BAIXO","OK")))</x:f>
      </x:c>
    </x:row>
    <x:row r="64">
      <x:c r="E64" s="52" t="str">
        <x:f>IF(D64="","",MINIFS('Movimentações'!$A$5:$A$504,'Movimentações'!$C$5:$C$504,A64,'Movimentações'!$F$5:$F$504,D64,'Movimentações'!$B$5:$B$504,"ENTRADA"))</x:f>
      </x:c>
      <x:c r="F64" s="53" t="str">
        <x:f>IF(D64="","",SUMIFS('Movimentações'!$K$5:$K$504,'Movimentações'!$C$5:$C$504,A64,'Movimentações'!$F$5:$F$504,D64))</x:f>
      </x:c>
      <x:c r="G64" s="53" t="str">
        <x:f>IF(D64="","",SUMIFS('Movimentações'!$L$5:$L$504,'Movimentações'!$C$5:$C$504,A64,'Movimentações'!$F$5:$F$504,D64))</x:f>
      </x:c>
      <x:c r="H64" s="53" t="str">
        <x:f>IF(D64="","",F64-G64)</x:f>
      </x:c>
      <x:c r="I64" s="53" t="str">
        <x:f>IF(D64="","",SUMIFS('Movimentações'!$N$5:$N$504,'Movimentações'!$C$5:$C$504,A64,'Movimentações'!$F$5:$F$504,D64)-SUMIFS('Movimentações'!$O$5:$O$504,'Movimentações'!$C$5:$C$504,A64,'Movimentações'!$F$5:$F$504,D64))</x:f>
      </x:c>
      <x:c r="J64" t="str">
        <x:f>IF(D64="","",IF(H64&lt;0,"SALDO NEGATIVO",IF(H64=0,"ESGOTADO","DISPONÍVEL")))</x:f>
      </x:c>
      <x:c r="K64" t="str">
        <x:f>IF(D64="","",IF(H64&lt;0,"REVISAR MOVIMENTAÇÕES",IF(H64&lt;=2,"ESTOQUE BAIXO","OK")))</x:f>
      </x:c>
    </x:row>
    <x:row r="65">
      <x:c r="E65" s="52" t="str">
        <x:f>IF(D65="","",MINIFS('Movimentações'!$A$5:$A$504,'Movimentações'!$C$5:$C$504,A65,'Movimentações'!$F$5:$F$504,D65,'Movimentações'!$B$5:$B$504,"ENTRADA"))</x:f>
      </x:c>
      <x:c r="F65" s="53" t="str">
        <x:f>IF(D65="","",SUMIFS('Movimentações'!$K$5:$K$504,'Movimentações'!$C$5:$C$504,A65,'Movimentações'!$F$5:$F$504,D65))</x:f>
      </x:c>
      <x:c r="G65" s="53" t="str">
        <x:f>IF(D65="","",SUMIFS('Movimentações'!$L$5:$L$504,'Movimentações'!$C$5:$C$504,A65,'Movimentações'!$F$5:$F$504,D65))</x:f>
      </x:c>
      <x:c r="H65" s="53" t="str">
        <x:f>IF(D65="","",F65-G65)</x:f>
      </x:c>
      <x:c r="I65" s="53" t="str">
        <x:f>IF(D65="","",SUMIFS('Movimentações'!$N$5:$N$504,'Movimentações'!$C$5:$C$504,A65,'Movimentações'!$F$5:$F$504,D65)-SUMIFS('Movimentações'!$O$5:$O$504,'Movimentações'!$C$5:$C$504,A65,'Movimentações'!$F$5:$F$504,D65))</x:f>
      </x:c>
      <x:c r="J65" t="str">
        <x:f>IF(D65="","",IF(H65&lt;0,"SALDO NEGATIVO",IF(H65=0,"ESGOTADO","DISPONÍVEL")))</x:f>
      </x:c>
      <x:c r="K65" t="str">
        <x:f>IF(D65="","",IF(H65&lt;0,"REVISAR MOVIMENTAÇÕES",IF(H65&lt;=2,"ESTOQUE BAIXO","OK")))</x:f>
      </x:c>
    </x:row>
    <x:row r="66">
      <x:c r="E66" s="52" t="str">
        <x:f>IF(D66="","",MINIFS('Movimentações'!$A$5:$A$504,'Movimentações'!$C$5:$C$504,A66,'Movimentações'!$F$5:$F$504,D66,'Movimentações'!$B$5:$B$504,"ENTRADA"))</x:f>
      </x:c>
      <x:c r="F66" s="53" t="str">
        <x:f>IF(D66="","",SUMIFS('Movimentações'!$K$5:$K$504,'Movimentações'!$C$5:$C$504,A66,'Movimentações'!$F$5:$F$504,D66))</x:f>
      </x:c>
      <x:c r="G66" s="53" t="str">
        <x:f>IF(D66="","",SUMIFS('Movimentações'!$L$5:$L$504,'Movimentações'!$C$5:$C$504,A66,'Movimentações'!$F$5:$F$504,D66))</x:f>
      </x:c>
      <x:c r="H66" s="53" t="str">
        <x:f>IF(D66="","",F66-G66)</x:f>
      </x:c>
      <x:c r="I66" s="53" t="str">
        <x:f>IF(D66="","",SUMIFS('Movimentações'!$N$5:$N$504,'Movimentações'!$C$5:$C$504,A66,'Movimentações'!$F$5:$F$504,D66)-SUMIFS('Movimentações'!$O$5:$O$504,'Movimentações'!$C$5:$C$504,A66,'Movimentações'!$F$5:$F$504,D66))</x:f>
      </x:c>
      <x:c r="J66" t="str">
        <x:f>IF(D66="","",IF(H66&lt;0,"SALDO NEGATIVO",IF(H66=0,"ESGOTADO","DISPONÍVEL")))</x:f>
      </x:c>
      <x:c r="K66" t="str">
        <x:f>IF(D66="","",IF(H66&lt;0,"REVISAR MOVIMENTAÇÕES",IF(H66&lt;=2,"ESTOQUE BAIXO","OK")))</x:f>
      </x:c>
    </x:row>
    <x:row r="67">
      <x:c r="E67" s="52" t="str">
        <x:f>IF(D67="","",MINIFS('Movimentações'!$A$5:$A$504,'Movimentações'!$C$5:$C$504,A67,'Movimentações'!$F$5:$F$504,D67,'Movimentações'!$B$5:$B$504,"ENTRADA"))</x:f>
      </x:c>
      <x:c r="F67" s="53" t="str">
        <x:f>IF(D67="","",SUMIFS('Movimentações'!$K$5:$K$504,'Movimentações'!$C$5:$C$504,A67,'Movimentações'!$F$5:$F$504,D67))</x:f>
      </x:c>
      <x:c r="G67" s="53" t="str">
        <x:f>IF(D67="","",SUMIFS('Movimentações'!$L$5:$L$504,'Movimentações'!$C$5:$C$504,A67,'Movimentações'!$F$5:$F$504,D67))</x:f>
      </x:c>
      <x:c r="H67" s="53" t="str">
        <x:f>IF(D67="","",F67-G67)</x:f>
      </x:c>
      <x:c r="I67" s="53" t="str">
        <x:f>IF(D67="","",SUMIFS('Movimentações'!$N$5:$N$504,'Movimentações'!$C$5:$C$504,A67,'Movimentações'!$F$5:$F$504,D67)-SUMIFS('Movimentações'!$O$5:$O$504,'Movimentações'!$C$5:$C$504,A67,'Movimentações'!$F$5:$F$504,D67))</x:f>
      </x:c>
      <x:c r="J67" t="str">
        <x:f>IF(D67="","",IF(H67&lt;0,"SALDO NEGATIVO",IF(H67=0,"ESGOTADO","DISPONÍVEL")))</x:f>
      </x:c>
      <x:c r="K67" t="str">
        <x:f>IF(D67="","",IF(H67&lt;0,"REVISAR MOVIMENTAÇÕES",IF(H67&lt;=2,"ESTOQUE BAIXO","OK")))</x:f>
      </x:c>
    </x:row>
    <x:row r="68">
      <x:c r="E68" s="52" t="str">
        <x:f>IF(D68="","",MINIFS('Movimentações'!$A$5:$A$504,'Movimentações'!$C$5:$C$504,A68,'Movimentações'!$F$5:$F$504,D68,'Movimentações'!$B$5:$B$504,"ENTRADA"))</x:f>
      </x:c>
      <x:c r="F68" s="53" t="str">
        <x:f>IF(D68="","",SUMIFS('Movimentações'!$K$5:$K$504,'Movimentações'!$C$5:$C$504,A68,'Movimentações'!$F$5:$F$504,D68))</x:f>
      </x:c>
      <x:c r="G68" s="53" t="str">
        <x:f>IF(D68="","",SUMIFS('Movimentações'!$L$5:$L$504,'Movimentações'!$C$5:$C$504,A68,'Movimentações'!$F$5:$F$504,D68))</x:f>
      </x:c>
      <x:c r="H68" s="53" t="str">
        <x:f>IF(D68="","",F68-G68)</x:f>
      </x:c>
      <x:c r="I68" s="53" t="str">
        <x:f>IF(D68="","",SUMIFS('Movimentações'!$N$5:$N$504,'Movimentações'!$C$5:$C$504,A68,'Movimentações'!$F$5:$F$504,D68)-SUMIFS('Movimentações'!$O$5:$O$504,'Movimentações'!$C$5:$C$504,A68,'Movimentações'!$F$5:$F$504,D68))</x:f>
      </x:c>
      <x:c r="J68" t="str">
        <x:f>IF(D68="","",IF(H68&lt;0,"SALDO NEGATIVO",IF(H68=0,"ESGOTADO","DISPONÍVEL")))</x:f>
      </x:c>
      <x:c r="K68" t="str">
        <x:f>IF(D68="","",IF(H68&lt;0,"REVISAR MOVIMENTAÇÕES",IF(H68&lt;=2,"ESTOQUE BAIXO","OK")))</x:f>
      </x:c>
    </x:row>
    <x:row r="69">
      <x:c r="E69" s="52" t="str">
        <x:f>IF(D69="","",MINIFS('Movimentações'!$A$5:$A$504,'Movimentações'!$C$5:$C$504,A69,'Movimentações'!$F$5:$F$504,D69,'Movimentações'!$B$5:$B$504,"ENTRADA"))</x:f>
      </x:c>
      <x:c r="F69" s="53" t="str">
        <x:f>IF(D69="","",SUMIFS('Movimentações'!$K$5:$K$504,'Movimentações'!$C$5:$C$504,A69,'Movimentações'!$F$5:$F$504,D69))</x:f>
      </x:c>
      <x:c r="G69" s="53" t="str">
        <x:f>IF(D69="","",SUMIFS('Movimentações'!$L$5:$L$504,'Movimentações'!$C$5:$C$504,A69,'Movimentações'!$F$5:$F$504,D69))</x:f>
      </x:c>
      <x:c r="H69" s="53" t="str">
        <x:f>IF(D69="","",F69-G69)</x:f>
      </x:c>
      <x:c r="I69" s="53" t="str">
        <x:f>IF(D69="","",SUMIFS('Movimentações'!$N$5:$N$504,'Movimentações'!$C$5:$C$504,A69,'Movimentações'!$F$5:$F$504,D69)-SUMIFS('Movimentações'!$O$5:$O$504,'Movimentações'!$C$5:$C$504,A69,'Movimentações'!$F$5:$F$504,D69))</x:f>
      </x:c>
      <x:c r="J69" t="str">
        <x:f>IF(D69="","",IF(H69&lt;0,"SALDO NEGATIVO",IF(H69=0,"ESGOTADO","DISPONÍVEL")))</x:f>
      </x:c>
      <x:c r="K69" t="str">
        <x:f>IF(D69="","",IF(H69&lt;0,"REVISAR MOVIMENTAÇÕES",IF(H69&lt;=2,"ESTOQUE BAIXO","OK")))</x:f>
      </x:c>
    </x:row>
    <x:row r="70">
      <x:c r="E70" s="52" t="str">
        <x:f>IF(D70="","",MINIFS('Movimentações'!$A$5:$A$504,'Movimentações'!$C$5:$C$504,A70,'Movimentações'!$F$5:$F$504,D70,'Movimentações'!$B$5:$B$504,"ENTRADA"))</x:f>
      </x:c>
      <x:c r="F70" s="53" t="str">
        <x:f>IF(D70="","",SUMIFS('Movimentações'!$K$5:$K$504,'Movimentações'!$C$5:$C$504,A70,'Movimentações'!$F$5:$F$504,D70))</x:f>
      </x:c>
      <x:c r="G70" s="53" t="str">
        <x:f>IF(D70="","",SUMIFS('Movimentações'!$L$5:$L$504,'Movimentações'!$C$5:$C$504,A70,'Movimentações'!$F$5:$F$504,D70))</x:f>
      </x:c>
      <x:c r="H70" s="53" t="str">
        <x:f>IF(D70="","",F70-G70)</x:f>
      </x:c>
      <x:c r="I70" s="53" t="str">
        <x:f>IF(D70="","",SUMIFS('Movimentações'!$N$5:$N$504,'Movimentações'!$C$5:$C$504,A70,'Movimentações'!$F$5:$F$504,D70)-SUMIFS('Movimentações'!$O$5:$O$504,'Movimentações'!$C$5:$C$504,A70,'Movimentações'!$F$5:$F$504,D70))</x:f>
      </x:c>
      <x:c r="J70" t="str">
        <x:f>IF(D70="","",IF(H70&lt;0,"SALDO NEGATIVO",IF(H70=0,"ESGOTADO","DISPONÍVEL")))</x:f>
      </x:c>
      <x:c r="K70" t="str">
        <x:f>IF(D70="","",IF(H70&lt;0,"REVISAR MOVIMENTAÇÕES",IF(H70&lt;=2,"ESTOQUE BAIXO","OK")))</x:f>
      </x:c>
    </x:row>
    <x:row r="71">
      <x:c r="E71" s="52" t="str">
        <x:f>IF(D71="","",MINIFS('Movimentações'!$A$5:$A$504,'Movimentações'!$C$5:$C$504,A71,'Movimentações'!$F$5:$F$504,D71,'Movimentações'!$B$5:$B$504,"ENTRADA"))</x:f>
      </x:c>
      <x:c r="F71" s="53" t="str">
        <x:f>IF(D71="","",SUMIFS('Movimentações'!$K$5:$K$504,'Movimentações'!$C$5:$C$504,A71,'Movimentações'!$F$5:$F$504,D71))</x:f>
      </x:c>
      <x:c r="G71" s="53" t="str">
        <x:f>IF(D71="","",SUMIFS('Movimentações'!$L$5:$L$504,'Movimentações'!$C$5:$C$504,A71,'Movimentações'!$F$5:$F$504,D71))</x:f>
      </x:c>
      <x:c r="H71" s="53" t="str">
        <x:f>IF(D71="","",F71-G71)</x:f>
      </x:c>
      <x:c r="I71" s="53" t="str">
        <x:f>IF(D71="","",SUMIFS('Movimentações'!$N$5:$N$504,'Movimentações'!$C$5:$C$504,A71,'Movimentações'!$F$5:$F$504,D71)-SUMIFS('Movimentações'!$O$5:$O$504,'Movimentações'!$C$5:$C$504,A71,'Movimentações'!$F$5:$F$504,D71))</x:f>
      </x:c>
      <x:c r="J71" t="str">
        <x:f>IF(D71="","",IF(H71&lt;0,"SALDO NEGATIVO",IF(H71=0,"ESGOTADO","DISPONÍVEL")))</x:f>
      </x:c>
      <x:c r="K71" t="str">
        <x:f>IF(D71="","",IF(H71&lt;0,"REVISAR MOVIMENTAÇÕES",IF(H71&lt;=2,"ESTOQUE BAIXO","OK")))</x:f>
      </x:c>
    </x:row>
    <x:row r="72">
      <x:c r="E72" s="52" t="str">
        <x:f>IF(D72="","",MINIFS('Movimentações'!$A$5:$A$504,'Movimentações'!$C$5:$C$504,A72,'Movimentações'!$F$5:$F$504,D72,'Movimentações'!$B$5:$B$504,"ENTRADA"))</x:f>
      </x:c>
      <x:c r="F72" s="53" t="str">
        <x:f>IF(D72="","",SUMIFS('Movimentações'!$K$5:$K$504,'Movimentações'!$C$5:$C$504,A72,'Movimentações'!$F$5:$F$504,D72))</x:f>
      </x:c>
      <x:c r="G72" s="53" t="str">
        <x:f>IF(D72="","",SUMIFS('Movimentações'!$L$5:$L$504,'Movimentações'!$C$5:$C$504,A72,'Movimentações'!$F$5:$F$504,D72))</x:f>
      </x:c>
      <x:c r="H72" s="53" t="str">
        <x:f>IF(D72="","",F72-G72)</x:f>
      </x:c>
      <x:c r="I72" s="53" t="str">
        <x:f>IF(D72="","",SUMIFS('Movimentações'!$N$5:$N$504,'Movimentações'!$C$5:$C$504,A72,'Movimentações'!$F$5:$F$504,D72)-SUMIFS('Movimentações'!$O$5:$O$504,'Movimentações'!$C$5:$C$504,A72,'Movimentações'!$F$5:$F$504,D72))</x:f>
      </x:c>
      <x:c r="J72" t="str">
        <x:f>IF(D72="","",IF(H72&lt;0,"SALDO NEGATIVO",IF(H72=0,"ESGOTADO","DISPONÍVEL")))</x:f>
      </x:c>
      <x:c r="K72" t="str">
        <x:f>IF(D72="","",IF(H72&lt;0,"REVISAR MOVIMENTAÇÕES",IF(H72&lt;=2,"ESTOQUE BAIXO","OK")))</x:f>
      </x:c>
    </x:row>
    <x:row r="73">
      <x:c r="E73" s="52" t="str">
        <x:f>IF(D73="","",MINIFS('Movimentações'!$A$5:$A$504,'Movimentações'!$C$5:$C$504,A73,'Movimentações'!$F$5:$F$504,D73,'Movimentações'!$B$5:$B$504,"ENTRADA"))</x:f>
      </x:c>
      <x:c r="F73" s="53" t="str">
        <x:f>IF(D73="","",SUMIFS('Movimentações'!$K$5:$K$504,'Movimentações'!$C$5:$C$504,A73,'Movimentações'!$F$5:$F$504,D73))</x:f>
      </x:c>
      <x:c r="G73" s="53" t="str">
        <x:f>IF(D73="","",SUMIFS('Movimentações'!$L$5:$L$504,'Movimentações'!$C$5:$C$504,A73,'Movimentações'!$F$5:$F$504,D73))</x:f>
      </x:c>
      <x:c r="H73" s="53" t="str">
        <x:f>IF(D73="","",F73-G73)</x:f>
      </x:c>
      <x:c r="I73" s="53" t="str">
        <x:f>IF(D73="","",SUMIFS('Movimentações'!$N$5:$N$504,'Movimentações'!$C$5:$C$504,A73,'Movimentações'!$F$5:$F$504,D73)-SUMIFS('Movimentações'!$O$5:$O$504,'Movimentações'!$C$5:$C$504,A73,'Movimentações'!$F$5:$F$504,D73))</x:f>
      </x:c>
      <x:c r="J73" t="str">
        <x:f>IF(D73="","",IF(H73&lt;0,"SALDO NEGATIVO",IF(H73=0,"ESGOTADO","DISPONÍVEL")))</x:f>
      </x:c>
      <x:c r="K73" t="str">
        <x:f>IF(D73="","",IF(H73&lt;0,"REVISAR MOVIMENTAÇÕES",IF(H73&lt;=2,"ESTOQUE BAIXO","OK")))</x:f>
      </x:c>
    </x:row>
    <x:row r="74">
      <x:c r="E74" s="52" t="str">
        <x:f>IF(D74="","",MINIFS('Movimentações'!$A$5:$A$504,'Movimentações'!$C$5:$C$504,A74,'Movimentações'!$F$5:$F$504,D74,'Movimentações'!$B$5:$B$504,"ENTRADA"))</x:f>
      </x:c>
      <x:c r="F74" s="53" t="str">
        <x:f>IF(D74="","",SUMIFS('Movimentações'!$K$5:$K$504,'Movimentações'!$C$5:$C$504,A74,'Movimentações'!$F$5:$F$504,D74))</x:f>
      </x:c>
      <x:c r="G74" s="53" t="str">
        <x:f>IF(D74="","",SUMIFS('Movimentações'!$L$5:$L$504,'Movimentações'!$C$5:$C$504,A74,'Movimentações'!$F$5:$F$504,D74))</x:f>
      </x:c>
      <x:c r="H74" s="53" t="str">
        <x:f>IF(D74="","",F74-G74)</x:f>
      </x:c>
      <x:c r="I74" s="53" t="str">
        <x:f>IF(D74="","",SUMIFS('Movimentações'!$N$5:$N$504,'Movimentações'!$C$5:$C$504,A74,'Movimentações'!$F$5:$F$504,D74)-SUMIFS('Movimentações'!$O$5:$O$504,'Movimentações'!$C$5:$C$504,A74,'Movimentações'!$F$5:$F$504,D74))</x:f>
      </x:c>
      <x:c r="J74" t="str">
        <x:f>IF(D74="","",IF(H74&lt;0,"SALDO NEGATIVO",IF(H74=0,"ESGOTADO","DISPONÍVEL")))</x:f>
      </x:c>
      <x:c r="K74" t="str">
        <x:f>IF(D74="","",IF(H74&lt;0,"REVISAR MOVIMENTAÇÕES",IF(H74&lt;=2,"ESTOQUE BAIXO","OK")))</x:f>
      </x:c>
    </x:row>
    <x:row r="75">
      <x:c r="E75" s="52" t="str">
        <x:f>IF(D75="","",MINIFS('Movimentações'!$A$5:$A$504,'Movimentações'!$C$5:$C$504,A75,'Movimentações'!$F$5:$F$504,D75,'Movimentações'!$B$5:$B$504,"ENTRADA"))</x:f>
      </x:c>
      <x:c r="F75" s="53" t="str">
        <x:f>IF(D75="","",SUMIFS('Movimentações'!$K$5:$K$504,'Movimentações'!$C$5:$C$504,A75,'Movimentações'!$F$5:$F$504,D75))</x:f>
      </x:c>
      <x:c r="G75" s="53" t="str">
        <x:f>IF(D75="","",SUMIFS('Movimentações'!$L$5:$L$504,'Movimentações'!$C$5:$C$504,A75,'Movimentações'!$F$5:$F$504,D75))</x:f>
      </x:c>
      <x:c r="H75" s="53" t="str">
        <x:f>IF(D75="","",F75-G75)</x:f>
      </x:c>
      <x:c r="I75" s="53" t="str">
        <x:f>IF(D75="","",SUMIFS('Movimentações'!$N$5:$N$504,'Movimentações'!$C$5:$C$504,A75,'Movimentações'!$F$5:$F$504,D75)-SUMIFS('Movimentações'!$O$5:$O$504,'Movimentações'!$C$5:$C$504,A75,'Movimentações'!$F$5:$F$504,D75))</x:f>
      </x:c>
      <x:c r="J75" t="str">
        <x:f>IF(D75="","",IF(H75&lt;0,"SALDO NEGATIVO",IF(H75=0,"ESGOTADO","DISPONÍVEL")))</x:f>
      </x:c>
      <x:c r="K75" t="str">
        <x:f>IF(D75="","",IF(H75&lt;0,"REVISAR MOVIMENTAÇÕES",IF(H75&lt;=2,"ESTOQUE BAIXO","OK")))</x:f>
      </x:c>
    </x:row>
    <x:row r="76">
      <x:c r="E76" s="52" t="str">
        <x:f>IF(D76="","",MINIFS('Movimentações'!$A$5:$A$504,'Movimentações'!$C$5:$C$504,A76,'Movimentações'!$F$5:$F$504,D76,'Movimentações'!$B$5:$B$504,"ENTRADA"))</x:f>
      </x:c>
      <x:c r="F76" s="53" t="str">
        <x:f>IF(D76="","",SUMIFS('Movimentações'!$K$5:$K$504,'Movimentações'!$C$5:$C$504,A76,'Movimentações'!$F$5:$F$504,D76))</x:f>
      </x:c>
      <x:c r="G76" s="53" t="str">
        <x:f>IF(D76="","",SUMIFS('Movimentações'!$L$5:$L$504,'Movimentações'!$C$5:$C$504,A76,'Movimentações'!$F$5:$F$504,D76))</x:f>
      </x:c>
      <x:c r="H76" s="53" t="str">
        <x:f>IF(D76="","",F76-G76)</x:f>
      </x:c>
      <x:c r="I76" s="53" t="str">
        <x:f>IF(D76="","",SUMIFS('Movimentações'!$N$5:$N$504,'Movimentações'!$C$5:$C$504,A76,'Movimentações'!$F$5:$F$504,D76)-SUMIFS('Movimentações'!$O$5:$O$504,'Movimentações'!$C$5:$C$504,A76,'Movimentações'!$F$5:$F$504,D76))</x:f>
      </x:c>
      <x:c r="J76" t="str">
        <x:f>IF(D76="","",IF(H76&lt;0,"SALDO NEGATIVO",IF(H76=0,"ESGOTADO","DISPONÍVEL")))</x:f>
      </x:c>
      <x:c r="K76" t="str">
        <x:f>IF(D76="","",IF(H76&lt;0,"REVISAR MOVIMENTAÇÕES",IF(H76&lt;=2,"ESTOQUE BAIXO","OK")))</x:f>
      </x:c>
    </x:row>
    <x:row r="77">
      <x:c r="E77" s="52" t="str">
        <x:f>IF(D77="","",MINIFS('Movimentações'!$A$5:$A$504,'Movimentações'!$C$5:$C$504,A77,'Movimentações'!$F$5:$F$504,D77,'Movimentações'!$B$5:$B$504,"ENTRADA"))</x:f>
      </x:c>
      <x:c r="F77" s="53" t="str">
        <x:f>IF(D77="","",SUMIFS('Movimentações'!$K$5:$K$504,'Movimentações'!$C$5:$C$504,A77,'Movimentações'!$F$5:$F$504,D77))</x:f>
      </x:c>
      <x:c r="G77" s="53" t="str">
        <x:f>IF(D77="","",SUMIFS('Movimentações'!$L$5:$L$504,'Movimentações'!$C$5:$C$504,A77,'Movimentações'!$F$5:$F$504,D77))</x:f>
      </x:c>
      <x:c r="H77" s="53" t="str">
        <x:f>IF(D77="","",F77-G77)</x:f>
      </x:c>
      <x:c r="I77" s="53" t="str">
        <x:f>IF(D77="","",SUMIFS('Movimentações'!$N$5:$N$504,'Movimentações'!$C$5:$C$504,A77,'Movimentações'!$F$5:$F$504,D77)-SUMIFS('Movimentações'!$O$5:$O$504,'Movimentações'!$C$5:$C$504,A77,'Movimentações'!$F$5:$F$504,D77))</x:f>
      </x:c>
      <x:c r="J77" t="str">
        <x:f>IF(D77="","",IF(H77&lt;0,"SALDO NEGATIVO",IF(H77=0,"ESGOTADO","DISPONÍVEL")))</x:f>
      </x:c>
      <x:c r="K77" t="str">
        <x:f>IF(D77="","",IF(H77&lt;0,"REVISAR MOVIMENTAÇÕES",IF(H77&lt;=2,"ESTOQUE BAIXO","OK")))</x:f>
      </x:c>
    </x:row>
    <x:row r="78">
      <x:c r="E78" s="52" t="str">
        <x:f>IF(D78="","",MINIFS('Movimentações'!$A$5:$A$504,'Movimentações'!$C$5:$C$504,A78,'Movimentações'!$F$5:$F$504,D78,'Movimentações'!$B$5:$B$504,"ENTRADA"))</x:f>
      </x:c>
      <x:c r="F78" s="53" t="str">
        <x:f>IF(D78="","",SUMIFS('Movimentações'!$K$5:$K$504,'Movimentações'!$C$5:$C$504,A78,'Movimentações'!$F$5:$F$504,D78))</x:f>
      </x:c>
      <x:c r="G78" s="53" t="str">
        <x:f>IF(D78="","",SUMIFS('Movimentações'!$L$5:$L$504,'Movimentações'!$C$5:$C$504,A78,'Movimentações'!$F$5:$F$504,D78))</x:f>
      </x:c>
      <x:c r="H78" s="53" t="str">
        <x:f>IF(D78="","",F78-G78)</x:f>
      </x:c>
      <x:c r="I78" s="53" t="str">
        <x:f>IF(D78="","",SUMIFS('Movimentações'!$N$5:$N$504,'Movimentações'!$C$5:$C$504,A78,'Movimentações'!$F$5:$F$504,D78)-SUMIFS('Movimentações'!$O$5:$O$504,'Movimentações'!$C$5:$C$504,A78,'Movimentações'!$F$5:$F$504,D78))</x:f>
      </x:c>
      <x:c r="J78" t="str">
        <x:f>IF(D78="","",IF(H78&lt;0,"SALDO NEGATIVO",IF(H78=0,"ESGOTADO","DISPONÍVEL")))</x:f>
      </x:c>
      <x:c r="K78" t="str">
        <x:f>IF(D78="","",IF(H78&lt;0,"REVISAR MOVIMENTAÇÕES",IF(H78&lt;=2,"ESTOQUE BAIXO","OK")))</x:f>
      </x:c>
    </x:row>
    <x:row r="79">
      <x:c r="E79" s="52" t="str">
        <x:f>IF(D79="","",MINIFS('Movimentações'!$A$5:$A$504,'Movimentações'!$C$5:$C$504,A79,'Movimentações'!$F$5:$F$504,D79,'Movimentações'!$B$5:$B$504,"ENTRADA"))</x:f>
      </x:c>
      <x:c r="F79" s="53" t="str">
        <x:f>IF(D79="","",SUMIFS('Movimentações'!$K$5:$K$504,'Movimentações'!$C$5:$C$504,A79,'Movimentações'!$F$5:$F$504,D79))</x:f>
      </x:c>
      <x:c r="G79" s="53" t="str">
        <x:f>IF(D79="","",SUMIFS('Movimentações'!$L$5:$L$504,'Movimentações'!$C$5:$C$504,A79,'Movimentações'!$F$5:$F$504,D79))</x:f>
      </x:c>
      <x:c r="H79" s="53" t="str">
        <x:f>IF(D79="","",F79-G79)</x:f>
      </x:c>
      <x:c r="I79" s="53" t="str">
        <x:f>IF(D79="","",SUMIFS('Movimentações'!$N$5:$N$504,'Movimentações'!$C$5:$C$504,A79,'Movimentações'!$F$5:$F$504,D79)-SUMIFS('Movimentações'!$O$5:$O$504,'Movimentações'!$C$5:$C$504,A79,'Movimentações'!$F$5:$F$504,D79))</x:f>
      </x:c>
      <x:c r="J79" t="str">
        <x:f>IF(D79="","",IF(H79&lt;0,"SALDO NEGATIVO",IF(H79=0,"ESGOTADO","DISPONÍVEL")))</x:f>
      </x:c>
      <x:c r="K79" t="str">
        <x:f>IF(D79="","",IF(H79&lt;0,"REVISAR MOVIMENTAÇÕES",IF(H79&lt;=2,"ESTOQUE BAIXO","OK")))</x:f>
      </x:c>
    </x:row>
    <x:row r="80">
      <x:c r="E80" s="52" t="str">
        <x:f>IF(D80="","",MINIFS('Movimentações'!$A$5:$A$504,'Movimentações'!$C$5:$C$504,A80,'Movimentações'!$F$5:$F$504,D80,'Movimentações'!$B$5:$B$504,"ENTRADA"))</x:f>
      </x:c>
      <x:c r="F80" s="53" t="str">
        <x:f>IF(D80="","",SUMIFS('Movimentações'!$K$5:$K$504,'Movimentações'!$C$5:$C$504,A80,'Movimentações'!$F$5:$F$504,D80))</x:f>
      </x:c>
      <x:c r="G80" s="53" t="str">
        <x:f>IF(D80="","",SUMIFS('Movimentações'!$L$5:$L$504,'Movimentações'!$C$5:$C$504,A80,'Movimentações'!$F$5:$F$504,D80))</x:f>
      </x:c>
      <x:c r="H80" s="53" t="str">
        <x:f>IF(D80="","",F80-G80)</x:f>
      </x:c>
      <x:c r="I80" s="53" t="str">
        <x:f>IF(D80="","",SUMIFS('Movimentações'!$N$5:$N$504,'Movimentações'!$C$5:$C$504,A80,'Movimentações'!$F$5:$F$504,D80)-SUMIFS('Movimentações'!$O$5:$O$504,'Movimentações'!$C$5:$C$504,A80,'Movimentações'!$F$5:$F$504,D80))</x:f>
      </x:c>
      <x:c r="J80" t="str">
        <x:f>IF(D80="","",IF(H80&lt;0,"SALDO NEGATIVO",IF(H80=0,"ESGOTADO","DISPONÍVEL")))</x:f>
      </x:c>
      <x:c r="K80" t="str">
        <x:f>IF(D80="","",IF(H80&lt;0,"REVISAR MOVIMENTAÇÕES",IF(H80&lt;=2,"ESTOQUE BAIXO","OK")))</x:f>
      </x:c>
    </x:row>
    <x:row r="81">
      <x:c r="E81" s="52" t="str">
        <x:f>IF(D81="","",MINIFS('Movimentações'!$A$5:$A$504,'Movimentações'!$C$5:$C$504,A81,'Movimentações'!$F$5:$F$504,D81,'Movimentações'!$B$5:$B$504,"ENTRADA"))</x:f>
      </x:c>
      <x:c r="F81" s="53" t="str">
        <x:f>IF(D81="","",SUMIFS('Movimentações'!$K$5:$K$504,'Movimentações'!$C$5:$C$504,A81,'Movimentações'!$F$5:$F$504,D81))</x:f>
      </x:c>
      <x:c r="G81" s="53" t="str">
        <x:f>IF(D81="","",SUMIFS('Movimentações'!$L$5:$L$504,'Movimentações'!$C$5:$C$504,A81,'Movimentações'!$F$5:$F$504,D81))</x:f>
      </x:c>
      <x:c r="H81" s="53" t="str">
        <x:f>IF(D81="","",F81-G81)</x:f>
      </x:c>
      <x:c r="I81" s="53" t="str">
        <x:f>IF(D81="","",SUMIFS('Movimentações'!$N$5:$N$504,'Movimentações'!$C$5:$C$504,A81,'Movimentações'!$F$5:$F$504,D81)-SUMIFS('Movimentações'!$O$5:$O$504,'Movimentações'!$C$5:$C$504,A81,'Movimentações'!$F$5:$F$504,D81))</x:f>
      </x:c>
      <x:c r="J81" t="str">
        <x:f>IF(D81="","",IF(H81&lt;0,"SALDO NEGATIVO",IF(H81=0,"ESGOTADO","DISPONÍVEL")))</x:f>
      </x:c>
      <x:c r="K81" t="str">
        <x:f>IF(D81="","",IF(H81&lt;0,"REVISAR MOVIMENTAÇÕES",IF(H81&lt;=2,"ESTOQUE BAIXO","OK")))</x:f>
      </x:c>
    </x:row>
    <x:row r="82">
      <x:c r="E82" s="52" t="str">
        <x:f>IF(D82="","",MINIFS('Movimentações'!$A$5:$A$504,'Movimentações'!$C$5:$C$504,A82,'Movimentações'!$F$5:$F$504,D82,'Movimentações'!$B$5:$B$504,"ENTRADA"))</x:f>
      </x:c>
      <x:c r="F82" s="53" t="str">
        <x:f>IF(D82="","",SUMIFS('Movimentações'!$K$5:$K$504,'Movimentações'!$C$5:$C$504,A82,'Movimentações'!$F$5:$F$504,D82))</x:f>
      </x:c>
      <x:c r="G82" s="53" t="str">
        <x:f>IF(D82="","",SUMIFS('Movimentações'!$L$5:$L$504,'Movimentações'!$C$5:$C$504,A82,'Movimentações'!$F$5:$F$504,D82))</x:f>
      </x:c>
      <x:c r="H82" s="53" t="str">
        <x:f>IF(D82="","",F82-G82)</x:f>
      </x:c>
      <x:c r="I82" s="53" t="str">
        <x:f>IF(D82="","",SUMIFS('Movimentações'!$N$5:$N$504,'Movimentações'!$C$5:$C$504,A82,'Movimentações'!$F$5:$F$504,D82)-SUMIFS('Movimentações'!$O$5:$O$504,'Movimentações'!$C$5:$C$504,A82,'Movimentações'!$F$5:$F$504,D82))</x:f>
      </x:c>
      <x:c r="J82" t="str">
        <x:f>IF(D82="","",IF(H82&lt;0,"SALDO NEGATIVO",IF(H82=0,"ESGOTADO","DISPONÍVEL")))</x:f>
      </x:c>
      <x:c r="K82" t="str">
        <x:f>IF(D82="","",IF(H82&lt;0,"REVISAR MOVIMENTAÇÕES",IF(H82&lt;=2,"ESTOQUE BAIXO","OK")))</x:f>
      </x:c>
    </x:row>
    <x:row r="83">
      <x:c r="E83" s="52" t="str">
        <x:f>IF(D83="","",MINIFS('Movimentações'!$A$5:$A$504,'Movimentações'!$C$5:$C$504,A83,'Movimentações'!$F$5:$F$504,D83,'Movimentações'!$B$5:$B$504,"ENTRADA"))</x:f>
      </x:c>
      <x:c r="F83" s="53" t="str">
        <x:f>IF(D83="","",SUMIFS('Movimentações'!$K$5:$K$504,'Movimentações'!$C$5:$C$504,A83,'Movimentações'!$F$5:$F$504,D83))</x:f>
      </x:c>
      <x:c r="G83" s="53" t="str">
        <x:f>IF(D83="","",SUMIFS('Movimentações'!$L$5:$L$504,'Movimentações'!$C$5:$C$504,A83,'Movimentações'!$F$5:$F$504,D83))</x:f>
      </x:c>
      <x:c r="H83" s="53" t="str">
        <x:f>IF(D83="","",F83-G83)</x:f>
      </x:c>
      <x:c r="I83" s="53" t="str">
        <x:f>IF(D83="","",SUMIFS('Movimentações'!$N$5:$N$504,'Movimentações'!$C$5:$C$504,A83,'Movimentações'!$F$5:$F$504,D83)-SUMIFS('Movimentações'!$O$5:$O$504,'Movimentações'!$C$5:$C$504,A83,'Movimentações'!$F$5:$F$504,D83))</x:f>
      </x:c>
      <x:c r="J83" t="str">
        <x:f>IF(D83="","",IF(H83&lt;0,"SALDO NEGATIVO",IF(H83=0,"ESGOTADO","DISPONÍVEL")))</x:f>
      </x:c>
      <x:c r="K83" t="str">
        <x:f>IF(D83="","",IF(H83&lt;0,"REVISAR MOVIMENTAÇÕES",IF(H83&lt;=2,"ESTOQUE BAIXO","OK")))</x:f>
      </x:c>
    </x:row>
    <x:row r="84">
      <x:c r="E84" s="52" t="str">
        <x:f>IF(D84="","",MINIFS('Movimentações'!$A$5:$A$504,'Movimentações'!$C$5:$C$504,A84,'Movimentações'!$F$5:$F$504,D84,'Movimentações'!$B$5:$B$504,"ENTRADA"))</x:f>
      </x:c>
      <x:c r="F84" s="53" t="str">
        <x:f>IF(D84="","",SUMIFS('Movimentações'!$K$5:$K$504,'Movimentações'!$C$5:$C$504,A84,'Movimentações'!$F$5:$F$504,D84))</x:f>
      </x:c>
      <x:c r="G84" s="53" t="str">
        <x:f>IF(D84="","",SUMIFS('Movimentações'!$L$5:$L$504,'Movimentações'!$C$5:$C$504,A84,'Movimentações'!$F$5:$F$504,D84))</x:f>
      </x:c>
      <x:c r="H84" s="53" t="str">
        <x:f>IF(D84="","",F84-G84)</x:f>
      </x:c>
      <x:c r="I84" s="53" t="str">
        <x:f>IF(D84="","",SUMIFS('Movimentações'!$N$5:$N$504,'Movimentações'!$C$5:$C$504,A84,'Movimentações'!$F$5:$F$504,D84)-SUMIFS('Movimentações'!$O$5:$O$504,'Movimentações'!$C$5:$C$504,A84,'Movimentações'!$F$5:$F$504,D84))</x:f>
      </x:c>
      <x:c r="J84" t="str">
        <x:f>IF(D84="","",IF(H84&lt;0,"SALDO NEGATIVO",IF(H84=0,"ESGOTADO","DISPONÍVEL")))</x:f>
      </x:c>
      <x:c r="K84" t="str">
        <x:f>IF(D84="","",IF(H84&lt;0,"REVISAR MOVIMENTAÇÕES",IF(H84&lt;=2,"ESTOQUE BAIXO","OK")))</x:f>
      </x:c>
    </x:row>
    <x:row r="85">
      <x:c r="E85" s="52" t="str">
        <x:f>IF(D85="","",MINIFS('Movimentações'!$A$5:$A$504,'Movimentações'!$C$5:$C$504,A85,'Movimentações'!$F$5:$F$504,D85,'Movimentações'!$B$5:$B$504,"ENTRADA"))</x:f>
      </x:c>
      <x:c r="F85" s="53" t="str">
        <x:f>IF(D85="","",SUMIFS('Movimentações'!$K$5:$K$504,'Movimentações'!$C$5:$C$504,A85,'Movimentações'!$F$5:$F$504,D85))</x:f>
      </x:c>
      <x:c r="G85" s="53" t="str">
        <x:f>IF(D85="","",SUMIFS('Movimentações'!$L$5:$L$504,'Movimentações'!$C$5:$C$504,A85,'Movimentações'!$F$5:$F$504,D85))</x:f>
      </x:c>
      <x:c r="H85" s="53" t="str">
        <x:f>IF(D85="","",F85-G85)</x:f>
      </x:c>
      <x:c r="I85" s="53" t="str">
        <x:f>IF(D85="","",SUMIFS('Movimentações'!$N$5:$N$504,'Movimentações'!$C$5:$C$504,A85,'Movimentações'!$F$5:$F$504,D85)-SUMIFS('Movimentações'!$O$5:$O$504,'Movimentações'!$C$5:$C$504,A85,'Movimentações'!$F$5:$F$504,D85))</x:f>
      </x:c>
      <x:c r="J85" t="str">
        <x:f>IF(D85="","",IF(H85&lt;0,"SALDO NEGATIVO",IF(H85=0,"ESGOTADO","DISPONÍVEL")))</x:f>
      </x:c>
      <x:c r="K85" t="str">
        <x:f>IF(D85="","",IF(H85&lt;0,"REVISAR MOVIMENTAÇÕES",IF(H85&lt;=2,"ESTOQUE BAIXO","OK")))</x:f>
      </x:c>
    </x:row>
    <x:row r="86">
      <x:c r="E86" s="52" t="str">
        <x:f>IF(D86="","",MINIFS('Movimentações'!$A$5:$A$504,'Movimentações'!$C$5:$C$504,A86,'Movimentações'!$F$5:$F$504,D86,'Movimentações'!$B$5:$B$504,"ENTRADA"))</x:f>
      </x:c>
      <x:c r="F86" s="53" t="str">
        <x:f>IF(D86="","",SUMIFS('Movimentações'!$K$5:$K$504,'Movimentações'!$C$5:$C$504,A86,'Movimentações'!$F$5:$F$504,D86))</x:f>
      </x:c>
      <x:c r="G86" s="53" t="str">
        <x:f>IF(D86="","",SUMIFS('Movimentações'!$L$5:$L$504,'Movimentações'!$C$5:$C$504,A86,'Movimentações'!$F$5:$F$504,D86))</x:f>
      </x:c>
      <x:c r="H86" s="53" t="str">
        <x:f>IF(D86="","",F86-G86)</x:f>
      </x:c>
      <x:c r="I86" s="53" t="str">
        <x:f>IF(D86="","",SUMIFS('Movimentações'!$N$5:$N$504,'Movimentações'!$C$5:$C$504,A86,'Movimentações'!$F$5:$F$504,D86)-SUMIFS('Movimentações'!$O$5:$O$504,'Movimentações'!$C$5:$C$504,A86,'Movimentações'!$F$5:$F$504,D86))</x:f>
      </x:c>
      <x:c r="J86" t="str">
        <x:f>IF(D86="","",IF(H86&lt;0,"SALDO NEGATIVO",IF(H86=0,"ESGOTADO","DISPONÍVEL")))</x:f>
      </x:c>
      <x:c r="K86" t="str">
        <x:f>IF(D86="","",IF(H86&lt;0,"REVISAR MOVIMENTAÇÕES",IF(H86&lt;=2,"ESTOQUE BAIXO","OK")))</x:f>
      </x:c>
    </x:row>
    <x:row r="87">
      <x:c r="E87" s="52" t="str">
        <x:f>IF(D87="","",MINIFS('Movimentações'!$A$5:$A$504,'Movimentações'!$C$5:$C$504,A87,'Movimentações'!$F$5:$F$504,D87,'Movimentações'!$B$5:$B$504,"ENTRADA"))</x:f>
      </x:c>
      <x:c r="F87" s="53" t="str">
        <x:f>IF(D87="","",SUMIFS('Movimentações'!$K$5:$K$504,'Movimentações'!$C$5:$C$504,A87,'Movimentações'!$F$5:$F$504,D87))</x:f>
      </x:c>
      <x:c r="G87" s="53" t="str">
        <x:f>IF(D87="","",SUMIFS('Movimentações'!$L$5:$L$504,'Movimentações'!$C$5:$C$504,A87,'Movimentações'!$F$5:$F$504,D87))</x:f>
      </x:c>
      <x:c r="H87" s="53" t="str">
        <x:f>IF(D87="","",F87-G87)</x:f>
      </x:c>
      <x:c r="I87" s="53" t="str">
        <x:f>IF(D87="","",SUMIFS('Movimentações'!$N$5:$N$504,'Movimentações'!$C$5:$C$504,A87,'Movimentações'!$F$5:$F$504,D87)-SUMIFS('Movimentações'!$O$5:$O$504,'Movimentações'!$C$5:$C$504,A87,'Movimentações'!$F$5:$F$504,D87))</x:f>
      </x:c>
      <x:c r="J87" t="str">
        <x:f>IF(D87="","",IF(H87&lt;0,"SALDO NEGATIVO",IF(H87=0,"ESGOTADO","DISPONÍVEL")))</x:f>
      </x:c>
      <x:c r="K87" t="str">
        <x:f>IF(D87="","",IF(H87&lt;0,"REVISAR MOVIMENTAÇÕES",IF(H87&lt;=2,"ESTOQUE BAIXO","OK")))</x:f>
      </x:c>
    </x:row>
    <x:row r="88">
      <x:c r="E88" s="52" t="str">
        <x:f>IF(D88="","",MINIFS('Movimentações'!$A$5:$A$504,'Movimentações'!$C$5:$C$504,A88,'Movimentações'!$F$5:$F$504,D88,'Movimentações'!$B$5:$B$504,"ENTRADA"))</x:f>
      </x:c>
      <x:c r="F88" s="53" t="str">
        <x:f>IF(D88="","",SUMIFS('Movimentações'!$K$5:$K$504,'Movimentações'!$C$5:$C$504,A88,'Movimentações'!$F$5:$F$504,D88))</x:f>
      </x:c>
      <x:c r="G88" s="53" t="str">
        <x:f>IF(D88="","",SUMIFS('Movimentações'!$L$5:$L$504,'Movimentações'!$C$5:$C$504,A88,'Movimentações'!$F$5:$F$504,D88))</x:f>
      </x:c>
      <x:c r="H88" s="53" t="str">
        <x:f>IF(D88="","",F88-G88)</x:f>
      </x:c>
      <x:c r="I88" s="53" t="str">
        <x:f>IF(D88="","",SUMIFS('Movimentações'!$N$5:$N$504,'Movimentações'!$C$5:$C$504,A88,'Movimentações'!$F$5:$F$504,D88)-SUMIFS('Movimentações'!$O$5:$O$504,'Movimentações'!$C$5:$C$504,A88,'Movimentações'!$F$5:$F$504,D88))</x:f>
      </x:c>
      <x:c r="J88" t="str">
        <x:f>IF(D88="","",IF(H88&lt;0,"SALDO NEGATIVO",IF(H88=0,"ESGOTADO","DISPONÍVEL")))</x:f>
      </x:c>
      <x:c r="K88" t="str">
        <x:f>IF(D88="","",IF(H88&lt;0,"REVISAR MOVIMENTAÇÕES",IF(H88&lt;=2,"ESTOQUE BAIXO","OK")))</x:f>
      </x:c>
    </x:row>
    <x:row r="89">
      <x:c r="E89" s="52" t="str">
        <x:f>IF(D89="","",MINIFS('Movimentações'!$A$5:$A$504,'Movimentações'!$C$5:$C$504,A89,'Movimentações'!$F$5:$F$504,D89,'Movimentações'!$B$5:$B$504,"ENTRADA"))</x:f>
      </x:c>
      <x:c r="F89" s="53" t="str">
        <x:f>IF(D89="","",SUMIFS('Movimentações'!$K$5:$K$504,'Movimentações'!$C$5:$C$504,A89,'Movimentações'!$F$5:$F$504,D89))</x:f>
      </x:c>
      <x:c r="G89" s="53" t="str">
        <x:f>IF(D89="","",SUMIFS('Movimentações'!$L$5:$L$504,'Movimentações'!$C$5:$C$504,A89,'Movimentações'!$F$5:$F$504,D89))</x:f>
      </x:c>
      <x:c r="H89" s="53" t="str">
        <x:f>IF(D89="","",F89-G89)</x:f>
      </x:c>
      <x:c r="I89" s="53" t="str">
        <x:f>IF(D89="","",SUMIFS('Movimentações'!$N$5:$N$504,'Movimentações'!$C$5:$C$504,A89,'Movimentações'!$F$5:$F$504,D89)-SUMIFS('Movimentações'!$O$5:$O$504,'Movimentações'!$C$5:$C$504,A89,'Movimentações'!$F$5:$F$504,D89))</x:f>
      </x:c>
      <x:c r="J89" t="str">
        <x:f>IF(D89="","",IF(H89&lt;0,"SALDO NEGATIVO",IF(H89=0,"ESGOTADO","DISPONÍVEL")))</x:f>
      </x:c>
      <x:c r="K89" t="str">
        <x:f>IF(D89="","",IF(H89&lt;0,"REVISAR MOVIMENTAÇÕES",IF(H89&lt;=2,"ESTOQUE BAIXO","OK")))</x:f>
      </x:c>
    </x:row>
    <x:row r="90">
      <x:c r="E90" s="52" t="str">
        <x:f>IF(D90="","",MINIFS('Movimentações'!$A$5:$A$504,'Movimentações'!$C$5:$C$504,A90,'Movimentações'!$F$5:$F$504,D90,'Movimentações'!$B$5:$B$504,"ENTRADA"))</x:f>
      </x:c>
      <x:c r="F90" s="53" t="str">
        <x:f>IF(D90="","",SUMIFS('Movimentações'!$K$5:$K$504,'Movimentações'!$C$5:$C$504,A90,'Movimentações'!$F$5:$F$504,D90))</x:f>
      </x:c>
      <x:c r="G90" s="53" t="str">
        <x:f>IF(D90="","",SUMIFS('Movimentações'!$L$5:$L$504,'Movimentações'!$C$5:$C$504,A90,'Movimentações'!$F$5:$F$504,D90))</x:f>
      </x:c>
      <x:c r="H90" s="53" t="str">
        <x:f>IF(D90="","",F90-G90)</x:f>
      </x:c>
      <x:c r="I90" s="53" t="str">
        <x:f>IF(D90="","",SUMIFS('Movimentações'!$N$5:$N$504,'Movimentações'!$C$5:$C$504,A90,'Movimentações'!$F$5:$F$504,D90)-SUMIFS('Movimentações'!$O$5:$O$504,'Movimentações'!$C$5:$C$504,A90,'Movimentações'!$F$5:$F$504,D90))</x:f>
      </x:c>
      <x:c r="J90" t="str">
        <x:f>IF(D90="","",IF(H90&lt;0,"SALDO NEGATIVO",IF(H90=0,"ESGOTADO","DISPONÍVEL")))</x:f>
      </x:c>
      <x:c r="K90" t="str">
        <x:f>IF(D90="","",IF(H90&lt;0,"REVISAR MOVIMENTAÇÕES",IF(H90&lt;=2,"ESTOQUE BAIXO","OK")))</x:f>
      </x:c>
    </x:row>
    <x:row r="91">
      <x:c r="E91" s="52" t="str">
        <x:f>IF(D91="","",MINIFS('Movimentações'!$A$5:$A$504,'Movimentações'!$C$5:$C$504,A91,'Movimentações'!$F$5:$F$504,D91,'Movimentações'!$B$5:$B$504,"ENTRADA"))</x:f>
      </x:c>
      <x:c r="F91" s="53" t="str">
        <x:f>IF(D91="","",SUMIFS('Movimentações'!$K$5:$K$504,'Movimentações'!$C$5:$C$504,A91,'Movimentações'!$F$5:$F$504,D91))</x:f>
      </x:c>
      <x:c r="G91" s="53" t="str">
        <x:f>IF(D91="","",SUMIFS('Movimentações'!$L$5:$L$504,'Movimentações'!$C$5:$C$504,A91,'Movimentações'!$F$5:$F$504,D91))</x:f>
      </x:c>
      <x:c r="H91" s="53" t="str">
        <x:f>IF(D91="","",F91-G91)</x:f>
      </x:c>
      <x:c r="I91" s="53" t="str">
        <x:f>IF(D91="","",SUMIFS('Movimentações'!$N$5:$N$504,'Movimentações'!$C$5:$C$504,A91,'Movimentações'!$F$5:$F$504,D91)-SUMIFS('Movimentações'!$O$5:$O$504,'Movimentações'!$C$5:$C$504,A91,'Movimentações'!$F$5:$F$504,D91))</x:f>
      </x:c>
      <x:c r="J91" t="str">
        <x:f>IF(D91="","",IF(H91&lt;0,"SALDO NEGATIVO",IF(H91=0,"ESGOTADO","DISPONÍVEL")))</x:f>
      </x:c>
      <x:c r="K91" t="str">
        <x:f>IF(D91="","",IF(H91&lt;0,"REVISAR MOVIMENTAÇÕES",IF(H91&lt;=2,"ESTOQUE BAIXO","OK")))</x:f>
      </x:c>
    </x:row>
    <x:row r="92">
      <x:c r="E92" s="52" t="str">
        <x:f>IF(D92="","",MINIFS('Movimentações'!$A$5:$A$504,'Movimentações'!$C$5:$C$504,A92,'Movimentações'!$F$5:$F$504,D92,'Movimentações'!$B$5:$B$504,"ENTRADA"))</x:f>
      </x:c>
      <x:c r="F92" s="53" t="str">
        <x:f>IF(D92="","",SUMIFS('Movimentações'!$K$5:$K$504,'Movimentações'!$C$5:$C$504,A92,'Movimentações'!$F$5:$F$504,D92))</x:f>
      </x:c>
      <x:c r="G92" s="53" t="str">
        <x:f>IF(D92="","",SUMIFS('Movimentações'!$L$5:$L$504,'Movimentações'!$C$5:$C$504,A92,'Movimentações'!$F$5:$F$504,D92))</x:f>
      </x:c>
      <x:c r="H92" s="53" t="str">
        <x:f>IF(D92="","",F92-G92)</x:f>
      </x:c>
      <x:c r="I92" s="53" t="str">
        <x:f>IF(D92="","",SUMIFS('Movimentações'!$N$5:$N$504,'Movimentações'!$C$5:$C$504,A92,'Movimentações'!$F$5:$F$504,D92)-SUMIFS('Movimentações'!$O$5:$O$504,'Movimentações'!$C$5:$C$504,A92,'Movimentações'!$F$5:$F$504,D92))</x:f>
      </x:c>
      <x:c r="J92" t="str">
        <x:f>IF(D92="","",IF(H92&lt;0,"SALDO NEGATIVO",IF(H92=0,"ESGOTADO","DISPONÍVEL")))</x:f>
      </x:c>
      <x:c r="K92" t="str">
        <x:f>IF(D92="","",IF(H92&lt;0,"REVISAR MOVIMENTAÇÕES",IF(H92&lt;=2,"ESTOQUE BAIXO","OK")))</x:f>
      </x:c>
    </x:row>
    <x:row r="93">
      <x:c r="E93" s="52" t="str">
        <x:f>IF(D93="","",MINIFS('Movimentações'!$A$5:$A$504,'Movimentações'!$C$5:$C$504,A93,'Movimentações'!$F$5:$F$504,D93,'Movimentações'!$B$5:$B$504,"ENTRADA"))</x:f>
      </x:c>
      <x:c r="F93" s="53" t="str">
        <x:f>IF(D93="","",SUMIFS('Movimentações'!$K$5:$K$504,'Movimentações'!$C$5:$C$504,A93,'Movimentações'!$F$5:$F$504,D93))</x:f>
      </x:c>
      <x:c r="G93" s="53" t="str">
        <x:f>IF(D93="","",SUMIFS('Movimentações'!$L$5:$L$504,'Movimentações'!$C$5:$C$504,A93,'Movimentações'!$F$5:$F$504,D93))</x:f>
      </x:c>
      <x:c r="H93" s="53" t="str">
        <x:f>IF(D93="","",F93-G93)</x:f>
      </x:c>
      <x:c r="I93" s="53" t="str">
        <x:f>IF(D93="","",SUMIFS('Movimentações'!$N$5:$N$504,'Movimentações'!$C$5:$C$504,A93,'Movimentações'!$F$5:$F$504,D93)-SUMIFS('Movimentações'!$O$5:$O$504,'Movimentações'!$C$5:$C$504,A93,'Movimentações'!$F$5:$F$504,D93))</x:f>
      </x:c>
      <x:c r="J93" t="str">
        <x:f>IF(D93="","",IF(H93&lt;0,"SALDO NEGATIVO",IF(H93=0,"ESGOTADO","DISPONÍVEL")))</x:f>
      </x:c>
      <x:c r="K93" t="str">
        <x:f>IF(D93="","",IF(H93&lt;0,"REVISAR MOVIMENTAÇÕES",IF(H93&lt;=2,"ESTOQUE BAIXO","OK")))</x:f>
      </x:c>
    </x:row>
    <x:row r="94">
      <x:c r="E94" s="52" t="str">
        <x:f>IF(D94="","",MINIFS('Movimentações'!$A$5:$A$504,'Movimentações'!$C$5:$C$504,A94,'Movimentações'!$F$5:$F$504,D94,'Movimentações'!$B$5:$B$504,"ENTRADA"))</x:f>
      </x:c>
      <x:c r="F94" s="53" t="str">
        <x:f>IF(D94="","",SUMIFS('Movimentações'!$K$5:$K$504,'Movimentações'!$C$5:$C$504,A94,'Movimentações'!$F$5:$F$504,D94))</x:f>
      </x:c>
      <x:c r="G94" s="53" t="str">
        <x:f>IF(D94="","",SUMIFS('Movimentações'!$L$5:$L$504,'Movimentações'!$C$5:$C$504,A94,'Movimentações'!$F$5:$F$504,D94))</x:f>
      </x:c>
      <x:c r="H94" s="53" t="str">
        <x:f>IF(D94="","",F94-G94)</x:f>
      </x:c>
      <x:c r="I94" s="53" t="str">
        <x:f>IF(D94="","",SUMIFS('Movimentações'!$N$5:$N$504,'Movimentações'!$C$5:$C$504,A94,'Movimentações'!$F$5:$F$504,D94)-SUMIFS('Movimentações'!$O$5:$O$504,'Movimentações'!$C$5:$C$504,A94,'Movimentações'!$F$5:$F$504,D94))</x:f>
      </x:c>
      <x:c r="J94" t="str">
        <x:f>IF(D94="","",IF(H94&lt;0,"SALDO NEGATIVO",IF(H94=0,"ESGOTADO","DISPONÍVEL")))</x:f>
      </x:c>
      <x:c r="K94" t="str">
        <x:f>IF(D94="","",IF(H94&lt;0,"REVISAR MOVIMENTAÇÕES",IF(H94&lt;=2,"ESTOQUE BAIXO","OK")))</x:f>
      </x:c>
    </x:row>
    <x:row r="95">
      <x:c r="E95" s="52" t="str">
        <x:f>IF(D95="","",MINIFS('Movimentações'!$A$5:$A$504,'Movimentações'!$C$5:$C$504,A95,'Movimentações'!$F$5:$F$504,D95,'Movimentações'!$B$5:$B$504,"ENTRADA"))</x:f>
      </x:c>
      <x:c r="F95" s="53" t="str">
        <x:f>IF(D95="","",SUMIFS('Movimentações'!$K$5:$K$504,'Movimentações'!$C$5:$C$504,A95,'Movimentações'!$F$5:$F$504,D95))</x:f>
      </x:c>
      <x:c r="G95" s="53" t="str">
        <x:f>IF(D95="","",SUMIFS('Movimentações'!$L$5:$L$504,'Movimentações'!$C$5:$C$504,A95,'Movimentações'!$F$5:$F$504,D95))</x:f>
      </x:c>
      <x:c r="H95" s="53" t="str">
        <x:f>IF(D95="","",F95-G95)</x:f>
      </x:c>
      <x:c r="I95" s="53" t="str">
        <x:f>IF(D95="","",SUMIFS('Movimentações'!$N$5:$N$504,'Movimentações'!$C$5:$C$504,A95,'Movimentações'!$F$5:$F$504,D95)-SUMIFS('Movimentações'!$O$5:$O$504,'Movimentações'!$C$5:$C$504,A95,'Movimentações'!$F$5:$F$504,D95))</x:f>
      </x:c>
      <x:c r="J95" t="str">
        <x:f>IF(D95="","",IF(H95&lt;0,"SALDO NEGATIVO",IF(H95=0,"ESGOTADO","DISPONÍVEL")))</x:f>
      </x:c>
      <x:c r="K95" t="str">
        <x:f>IF(D95="","",IF(H95&lt;0,"REVISAR MOVIMENTAÇÕES",IF(H95&lt;=2,"ESTOQUE BAIXO","OK")))</x:f>
      </x:c>
    </x:row>
    <x:row r="96">
      <x:c r="E96" s="52" t="str">
        <x:f>IF(D96="","",MINIFS('Movimentações'!$A$5:$A$504,'Movimentações'!$C$5:$C$504,A96,'Movimentações'!$F$5:$F$504,D96,'Movimentações'!$B$5:$B$504,"ENTRADA"))</x:f>
      </x:c>
      <x:c r="F96" s="53" t="str">
        <x:f>IF(D96="","",SUMIFS('Movimentações'!$K$5:$K$504,'Movimentações'!$C$5:$C$504,A96,'Movimentações'!$F$5:$F$504,D96))</x:f>
      </x:c>
      <x:c r="G96" s="53" t="str">
        <x:f>IF(D96="","",SUMIFS('Movimentações'!$L$5:$L$504,'Movimentações'!$C$5:$C$504,A96,'Movimentações'!$F$5:$F$504,D96))</x:f>
      </x:c>
      <x:c r="H96" s="53" t="str">
        <x:f>IF(D96="","",F96-G96)</x:f>
      </x:c>
      <x:c r="I96" s="53" t="str">
        <x:f>IF(D96="","",SUMIFS('Movimentações'!$N$5:$N$504,'Movimentações'!$C$5:$C$504,A96,'Movimentações'!$F$5:$F$504,D96)-SUMIFS('Movimentações'!$O$5:$O$504,'Movimentações'!$C$5:$C$504,A96,'Movimentações'!$F$5:$F$504,D96))</x:f>
      </x:c>
      <x:c r="J96" t="str">
        <x:f>IF(D96="","",IF(H96&lt;0,"SALDO NEGATIVO",IF(H96=0,"ESGOTADO","DISPONÍVEL")))</x:f>
      </x:c>
      <x:c r="K96" t="str">
        <x:f>IF(D96="","",IF(H96&lt;0,"REVISAR MOVIMENTAÇÕES",IF(H96&lt;=2,"ESTOQUE BAIXO","OK")))</x:f>
      </x:c>
    </x:row>
    <x:row r="97">
      <x:c r="E97" s="52" t="str">
        <x:f>IF(D97="","",MINIFS('Movimentações'!$A$5:$A$504,'Movimentações'!$C$5:$C$504,A97,'Movimentações'!$F$5:$F$504,D97,'Movimentações'!$B$5:$B$504,"ENTRADA"))</x:f>
      </x:c>
      <x:c r="F97" s="53" t="str">
        <x:f>IF(D97="","",SUMIFS('Movimentações'!$K$5:$K$504,'Movimentações'!$C$5:$C$504,A97,'Movimentações'!$F$5:$F$504,D97))</x:f>
      </x:c>
      <x:c r="G97" s="53" t="str">
        <x:f>IF(D97="","",SUMIFS('Movimentações'!$L$5:$L$504,'Movimentações'!$C$5:$C$504,A97,'Movimentações'!$F$5:$F$504,D97))</x:f>
      </x:c>
      <x:c r="H97" s="53" t="str">
        <x:f>IF(D97="","",F97-G97)</x:f>
      </x:c>
      <x:c r="I97" s="53" t="str">
        <x:f>IF(D97="","",SUMIFS('Movimentações'!$N$5:$N$504,'Movimentações'!$C$5:$C$504,A97,'Movimentações'!$F$5:$F$504,D97)-SUMIFS('Movimentações'!$O$5:$O$504,'Movimentações'!$C$5:$C$504,A97,'Movimentações'!$F$5:$F$504,D97))</x:f>
      </x:c>
      <x:c r="J97" t="str">
        <x:f>IF(D97="","",IF(H97&lt;0,"SALDO NEGATIVO",IF(H97=0,"ESGOTADO","DISPONÍVEL")))</x:f>
      </x:c>
      <x:c r="K97" t="str">
        <x:f>IF(D97="","",IF(H97&lt;0,"REVISAR MOVIMENTAÇÕES",IF(H97&lt;=2,"ESTOQUE BAIXO","OK")))</x:f>
      </x:c>
    </x:row>
    <x:row r="98">
      <x:c r="E98" s="52" t="str">
        <x:f>IF(D98="","",MINIFS('Movimentações'!$A$5:$A$504,'Movimentações'!$C$5:$C$504,A98,'Movimentações'!$F$5:$F$504,D98,'Movimentações'!$B$5:$B$504,"ENTRADA"))</x:f>
      </x:c>
      <x:c r="F98" s="53" t="str">
        <x:f>IF(D98="","",SUMIFS('Movimentações'!$K$5:$K$504,'Movimentações'!$C$5:$C$504,A98,'Movimentações'!$F$5:$F$504,D98))</x:f>
      </x:c>
      <x:c r="G98" s="53" t="str">
        <x:f>IF(D98="","",SUMIFS('Movimentações'!$L$5:$L$504,'Movimentações'!$C$5:$C$504,A98,'Movimentações'!$F$5:$F$504,D98))</x:f>
      </x:c>
      <x:c r="H98" s="53" t="str">
        <x:f>IF(D98="","",F98-G98)</x:f>
      </x:c>
      <x:c r="I98" s="53" t="str">
        <x:f>IF(D98="","",SUMIFS('Movimentações'!$N$5:$N$504,'Movimentações'!$C$5:$C$504,A98,'Movimentações'!$F$5:$F$504,D98)-SUMIFS('Movimentações'!$O$5:$O$504,'Movimentações'!$C$5:$C$504,A98,'Movimentações'!$F$5:$F$504,D98))</x:f>
      </x:c>
      <x:c r="J98" t="str">
        <x:f>IF(D98="","",IF(H98&lt;0,"SALDO NEGATIVO",IF(H98=0,"ESGOTADO","DISPONÍVEL")))</x:f>
      </x:c>
      <x:c r="K98" t="str">
        <x:f>IF(D98="","",IF(H98&lt;0,"REVISAR MOVIMENTAÇÕES",IF(H98&lt;=2,"ESTOQUE BAIXO","OK")))</x:f>
      </x:c>
    </x:row>
    <x:row r="99">
      <x:c r="E99" s="52" t="str">
        <x:f>IF(D99="","",MINIFS('Movimentações'!$A$5:$A$504,'Movimentações'!$C$5:$C$504,A99,'Movimentações'!$F$5:$F$504,D99,'Movimentações'!$B$5:$B$504,"ENTRADA"))</x:f>
      </x:c>
      <x:c r="F99" s="53" t="str">
        <x:f>IF(D99="","",SUMIFS('Movimentações'!$K$5:$K$504,'Movimentações'!$C$5:$C$504,A99,'Movimentações'!$F$5:$F$504,D99))</x:f>
      </x:c>
      <x:c r="G99" s="53" t="str">
        <x:f>IF(D99="","",SUMIFS('Movimentações'!$L$5:$L$504,'Movimentações'!$C$5:$C$504,A99,'Movimentações'!$F$5:$F$504,D99))</x:f>
      </x:c>
      <x:c r="H99" s="53" t="str">
        <x:f>IF(D99="","",F99-G99)</x:f>
      </x:c>
      <x:c r="I99" s="53" t="str">
        <x:f>IF(D99="","",SUMIFS('Movimentações'!$N$5:$N$504,'Movimentações'!$C$5:$C$504,A99,'Movimentações'!$F$5:$F$504,D99)-SUMIFS('Movimentações'!$O$5:$O$504,'Movimentações'!$C$5:$C$504,A99,'Movimentações'!$F$5:$F$504,D99))</x:f>
      </x:c>
      <x:c r="J99" t="str">
        <x:f>IF(D99="","",IF(H99&lt;0,"SALDO NEGATIVO",IF(H99=0,"ESGOTADO","DISPONÍVEL")))</x:f>
      </x:c>
      <x:c r="K99" t="str">
        <x:f>IF(D99="","",IF(H99&lt;0,"REVISAR MOVIMENTAÇÕES",IF(H99&lt;=2,"ESTOQUE BAIXO","OK")))</x:f>
      </x:c>
    </x:row>
    <x:row r="100">
      <x:c r="E100" s="52" t="str">
        <x:f>IF(D100="","",MINIFS('Movimentações'!$A$5:$A$504,'Movimentações'!$C$5:$C$504,A100,'Movimentações'!$F$5:$F$504,D100,'Movimentações'!$B$5:$B$504,"ENTRADA"))</x:f>
      </x:c>
      <x:c r="F100" s="53" t="str">
        <x:f>IF(D100="","",SUMIFS('Movimentações'!$K$5:$K$504,'Movimentações'!$C$5:$C$504,A100,'Movimentações'!$F$5:$F$504,D100))</x:f>
      </x:c>
      <x:c r="G100" s="53" t="str">
        <x:f>IF(D100="","",SUMIFS('Movimentações'!$L$5:$L$504,'Movimentações'!$C$5:$C$504,A100,'Movimentações'!$F$5:$F$504,D100))</x:f>
      </x:c>
      <x:c r="H100" s="53" t="str">
        <x:f>IF(D100="","",F100-G100)</x:f>
      </x:c>
      <x:c r="I100" s="53" t="str">
        <x:f>IF(D100="","",SUMIFS('Movimentações'!$N$5:$N$504,'Movimentações'!$C$5:$C$504,A100,'Movimentações'!$F$5:$F$504,D100)-SUMIFS('Movimentações'!$O$5:$O$504,'Movimentações'!$C$5:$C$504,A100,'Movimentações'!$F$5:$F$504,D100))</x:f>
      </x:c>
      <x:c r="J100" t="str">
        <x:f>IF(D100="","",IF(H100&lt;0,"SALDO NEGATIVO",IF(H100=0,"ESGOTADO","DISPONÍVEL")))</x:f>
      </x:c>
      <x:c r="K100" t="str">
        <x:f>IF(D100="","",IF(H100&lt;0,"REVISAR MOVIMENTAÇÕES",IF(H100&lt;=2,"ESTOQUE BAIXO","OK")))</x:f>
      </x:c>
    </x:row>
    <x:row r="101">
      <x:c r="E101" s="52" t="str">
        <x:f>IF(D101="","",MINIFS('Movimentações'!$A$5:$A$504,'Movimentações'!$C$5:$C$504,A101,'Movimentações'!$F$5:$F$504,D101,'Movimentações'!$B$5:$B$504,"ENTRADA"))</x:f>
      </x:c>
      <x:c r="F101" s="53" t="str">
        <x:f>IF(D101="","",SUMIFS('Movimentações'!$K$5:$K$504,'Movimentações'!$C$5:$C$504,A101,'Movimentações'!$F$5:$F$504,D101))</x:f>
      </x:c>
      <x:c r="G101" s="53" t="str">
        <x:f>IF(D101="","",SUMIFS('Movimentações'!$L$5:$L$504,'Movimentações'!$C$5:$C$504,A101,'Movimentações'!$F$5:$F$504,D101))</x:f>
      </x:c>
      <x:c r="H101" s="53" t="str">
        <x:f>IF(D101="","",F101-G101)</x:f>
      </x:c>
      <x:c r="I101" s="53" t="str">
        <x:f>IF(D101="","",SUMIFS('Movimentações'!$N$5:$N$504,'Movimentações'!$C$5:$C$504,A101,'Movimentações'!$F$5:$F$504,D101)-SUMIFS('Movimentações'!$O$5:$O$504,'Movimentações'!$C$5:$C$504,A101,'Movimentações'!$F$5:$F$504,D101))</x:f>
      </x:c>
      <x:c r="J101" t="str">
        <x:f>IF(D101="","",IF(H101&lt;0,"SALDO NEGATIVO",IF(H101=0,"ESGOTADO","DISPONÍVEL")))</x:f>
      </x:c>
      <x:c r="K101" t="str">
        <x:f>IF(D101="","",IF(H101&lt;0,"REVISAR MOVIMENTAÇÕES",IF(H101&lt;=2,"ESTOQUE BAIXO","OK")))</x:f>
      </x:c>
    </x:row>
    <x:row r="102">
      <x:c r="E102" s="52" t="str">
        <x:f>IF(D102="","",MINIFS('Movimentações'!$A$5:$A$504,'Movimentações'!$C$5:$C$504,A102,'Movimentações'!$F$5:$F$504,D102,'Movimentações'!$B$5:$B$504,"ENTRADA"))</x:f>
      </x:c>
      <x:c r="F102" s="53" t="str">
        <x:f>IF(D102="","",SUMIFS('Movimentações'!$K$5:$K$504,'Movimentações'!$C$5:$C$504,A102,'Movimentações'!$F$5:$F$504,D102))</x:f>
      </x:c>
      <x:c r="G102" s="53" t="str">
        <x:f>IF(D102="","",SUMIFS('Movimentações'!$L$5:$L$504,'Movimentações'!$C$5:$C$504,A102,'Movimentações'!$F$5:$F$504,D102))</x:f>
      </x:c>
      <x:c r="H102" s="53" t="str">
        <x:f>IF(D102="","",F102-G102)</x:f>
      </x:c>
      <x:c r="I102" s="53" t="str">
        <x:f>IF(D102="","",SUMIFS('Movimentações'!$N$5:$N$504,'Movimentações'!$C$5:$C$504,A102,'Movimentações'!$F$5:$F$504,D102)-SUMIFS('Movimentações'!$O$5:$O$504,'Movimentações'!$C$5:$C$504,A102,'Movimentações'!$F$5:$F$504,D102))</x:f>
      </x:c>
      <x:c r="J102" t="str">
        <x:f>IF(D102="","",IF(H102&lt;0,"SALDO NEGATIVO",IF(H102=0,"ESGOTADO","DISPONÍVEL")))</x:f>
      </x:c>
      <x:c r="K102" t="str">
        <x:f>IF(D102="","",IF(H102&lt;0,"REVISAR MOVIMENTAÇÕES",IF(H102&lt;=2,"ESTOQUE BAIXO","OK")))</x:f>
      </x:c>
    </x:row>
    <x:row r="103">
      <x:c r="E103" s="52" t="str">
        <x:f>IF(D103="","",MINIFS('Movimentações'!$A$5:$A$504,'Movimentações'!$C$5:$C$504,A103,'Movimentações'!$F$5:$F$504,D103,'Movimentações'!$B$5:$B$504,"ENTRADA"))</x:f>
      </x:c>
      <x:c r="F103" s="53" t="str">
        <x:f>IF(D103="","",SUMIFS('Movimentações'!$K$5:$K$504,'Movimentações'!$C$5:$C$504,A103,'Movimentações'!$F$5:$F$504,D103))</x:f>
      </x:c>
      <x:c r="G103" s="53" t="str">
        <x:f>IF(D103="","",SUMIFS('Movimentações'!$L$5:$L$504,'Movimentações'!$C$5:$C$504,A103,'Movimentações'!$F$5:$F$504,D103))</x:f>
      </x:c>
      <x:c r="H103" s="53" t="str">
        <x:f>IF(D103="","",F103-G103)</x:f>
      </x:c>
      <x:c r="I103" s="53" t="str">
        <x:f>IF(D103="","",SUMIFS('Movimentações'!$N$5:$N$504,'Movimentações'!$C$5:$C$504,A103,'Movimentações'!$F$5:$F$504,D103)-SUMIFS('Movimentações'!$O$5:$O$504,'Movimentações'!$C$5:$C$504,A103,'Movimentações'!$F$5:$F$504,D103))</x:f>
      </x:c>
      <x:c r="J103" t="str">
        <x:f>IF(D103="","",IF(H103&lt;0,"SALDO NEGATIVO",IF(H103=0,"ESGOTADO","DISPONÍVEL")))</x:f>
      </x:c>
      <x:c r="K103" t="str">
        <x:f>IF(D103="","",IF(H103&lt;0,"REVISAR MOVIMENTAÇÕES",IF(H103&lt;=2,"ESTOQUE BAIXO","OK")))</x:f>
      </x:c>
    </x:row>
    <x:row r="104">
      <x:c r="E104" s="52" t="str">
        <x:f>IF(D104="","",MINIFS('Movimentações'!$A$5:$A$504,'Movimentações'!$C$5:$C$504,A104,'Movimentações'!$F$5:$F$504,D104,'Movimentações'!$B$5:$B$504,"ENTRADA"))</x:f>
      </x:c>
      <x:c r="F104" s="53" t="str">
        <x:f>IF(D104="","",SUMIFS('Movimentações'!$K$5:$K$504,'Movimentações'!$C$5:$C$504,A104,'Movimentações'!$F$5:$F$504,D104))</x:f>
      </x:c>
      <x:c r="G104" s="53" t="str">
        <x:f>IF(D104="","",SUMIFS('Movimentações'!$L$5:$L$504,'Movimentações'!$C$5:$C$504,A104,'Movimentações'!$F$5:$F$504,D104))</x:f>
      </x:c>
      <x:c r="H104" s="53" t="str">
        <x:f>IF(D104="","",F104-G104)</x:f>
      </x:c>
      <x:c r="I104" s="53" t="str">
        <x:f>IF(D104="","",SUMIFS('Movimentações'!$N$5:$N$504,'Movimentações'!$C$5:$C$504,A104,'Movimentações'!$F$5:$F$504,D104)-SUMIFS('Movimentações'!$O$5:$O$504,'Movimentações'!$C$5:$C$504,A104,'Movimentações'!$F$5:$F$504,D104))</x:f>
      </x:c>
      <x:c r="J104" t="str">
        <x:f>IF(D104="","",IF(H104&lt;0,"SALDO NEGATIVO",IF(H104=0,"ESGOTADO","DISPONÍVEL")))</x:f>
      </x:c>
      <x:c r="K104" t="str">
        <x:f>IF(D104="","",IF(H104&lt;0,"REVISAR MOVIMENTAÇÕES",IF(H104&lt;=2,"ESTOQUE BAIXO","OK")))</x:f>
      </x:c>
    </x:row>
  </x:sheetData>
  <x:mergeCells>
    <x:mergeCell ref="A1:K1"/>
    <x:mergeCell ref="A2:K2"/>
  </x:mergeCells>
  <x:conditionalFormatting sqref="J5:K104">
    <x:cfRule type="containsText" dxfId="2" priority="1" operator="containsText" text="NEGATIVO"/>
  </x:conditionalFormatting>
  <x:conditionalFormatting sqref="K5:K104">
    <x:cfRule type="containsText" dxfId="3" priority="2" operator="containsText" text="ESTOQUE BAIXO"/>
  </x:conditionalFormatting>
  <x:pageMargins left="0.7" right="0.7" top="0.75" bottom="0.75" header="0.3" footer="0.3"/>
  <x:tableParts count="1">
    <x:tablePart xmlns:r="http://schemas.openxmlformats.org/officeDocument/2006/relationships" r:id="R35f04e40332b43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5" hidden="0" customWidth="1"/>
    <x:col min="4" max="4" width="12" hidden="0" customWidth="1"/>
    <x:col min="5" max="5" width="14" hidden="0" customWidth="1"/>
    <x:col min="6" max="6" width="12" hidden="0" customWidth="1"/>
    <x:col min="7" max="7" width="22" hidden="0" customWidth="1"/>
    <x:col min="8" max="8" width="10" hidden="0" customWidth="1"/>
    <x:col min="9" max="9" width="23" hidden="0" customWidth="1"/>
  </x:cols>
  <x:sheetData>
    <x:row r="1" ht="30" customHeight="1">
      <x:c r="A1" s="3" t="str">
        <x:v>FIFO — ORDEM CORRETA DE CONSUMO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5" t="str">
        <x:v>Prioridade 1 = consumir primeiro. A ordem considera a data da primeira entrada e somente lotes com saldo positivo.</x:v>
      </x:c>
      <x:c r="B2" s="5"/>
      <x:c r="C2" s="5"/>
      <x:c r="D2" s="5"/>
      <x:c r="E2" s="5"/>
      <x:c r="F2" s="5"/>
      <x:c r="G2" s="5"/>
      <x:c r="H2" s="5"/>
      <x:c r="I2" s="5"/>
    </x:row>
    <x:row r="4">
      <x:c r="A4" s="9" t="str">
        <x:v>Setor</x:v>
      </x:c>
      <x:c r="B4" s="9" t="str">
        <x:v>Lote</x:v>
      </x:c>
      <x:c r="C4" s="9" t="str">
        <x:v>Primeira entrada</x:v>
      </x:c>
      <x:c r="D4" s="9" t="str">
        <x:v>Saldo</x:v>
      </x:c>
      <x:c r="E4" s="9" t="str">
        <x:v>Saldo (kg)</x:v>
      </x:c>
      <x:c r="F4" s="9" t="str">
        <x:v>Prioridade</x:v>
      </x:c>
      <x:c r="G4" s="9" t="str">
        <x:v>Orientação</x:v>
      </x:c>
      <x:c r="H4" s="9" t="str">
        <x:v>Código</x:v>
      </x:c>
      <x:c r="I4" s="9" t="str">
        <x:v>Produto</x:v>
      </x:c>
    </x:row>
    <x:row r="5">
      <x:c r="A5" t="str">
        <x:f>'Estoque por Lote'!A5</x:f>
        <x:v>Colorífico</x:v>
      </x:c>
      <x:c r="B5" t="str">
        <x:f>'Estoque por Lote'!D5</x:f>
        <x:v>0145H26IT</x:v>
      </x:c>
      <x:c r="C5" s="52" t="n">
        <x:f>'Estoque por Lote'!E5</x:f>
        <x:v>46247.708333333336</x:v>
      </x:c>
      <x:c r="D5" s="53" t="n">
        <x:f>'Estoque por Lote'!H5</x:f>
        <x:v>23</x:v>
      </x:c>
      <x:c r="E5" s="53" t="n">
        <x:f>'Estoque por Lote'!I5</x:f>
        <x:v>28750</x:v>
      </x:c>
      <x:c r="F5" s="53" t="n">
        <x:f>IF(B5="","",IF(D5&lt;=0,"",1+COUNTIFS($A$5:$A$104,A5,$D$5:$D$104,"&gt;0",$C$5:$C$104,"&lt;"&amp;C5)))</x:f>
        <x:v>1</x:v>
      </x:c>
      <x:c r="G5" t="str">
        <x:f>IF(B5="","",IF(D5&lt;=0,"ESGOTADO",IF(F5=1,"CONSUMIR PRIMEIRO","AGUARDAR")))</x:f>
        <x:v>CONSUMIR PRIMEIRO</x:v>
      </x:c>
      <x:c r="H5" t="str">
        <x:f>'Estoque por Lote'!B5</x:f>
        <x:v>1436</x:v>
      </x:c>
      <x:c r="I5" t="str">
        <x:f>'Estoque por Lote'!C5</x:f>
        <x:v>Big Bag 1.250 kg</x:v>
      </x:c>
    </x:row>
    <x:row r="6">
      <x:c r="A6" t="str">
        <x:f>'Estoque por Lote'!A6</x:f>
        <x:v>Colorífico</x:v>
      </x:c>
      <x:c r="B6" t="str">
        <x:f>'Estoque por Lote'!D6</x:f>
        <x:v>0231H26IT</x:v>
      </x:c>
      <x:c r="C6" s="52" t="n">
        <x:f>'Estoque por Lote'!E6</x:f>
        <x:v>46254.708333333336</x:v>
      </x:c>
      <x:c r="D6" s="53" t="n">
        <x:f>'Estoque por Lote'!H6</x:f>
        <x:v>6</x:v>
      </x:c>
      <x:c r="E6" s="53" t="n">
        <x:f>'Estoque por Lote'!I6</x:f>
        <x:v>7500</x:v>
      </x:c>
      <x:c r="F6" s="53" t="n">
        <x:f>IF(B6="","",IF(D6&lt;=0,"",1+COUNTIFS($A$5:$A$104,A6,$D$5:$D$104,"&gt;0",$C$5:$C$104,"&lt;"&amp;C6)))</x:f>
        <x:v>2</x:v>
      </x:c>
      <x:c r="G6" t="str">
        <x:f>IF(B6="","",IF(D6&lt;=0,"ESGOTADO",IF(F6=1,"CONSUMIR PRIMEIRO","AGUARDAR")))</x:f>
        <x:v>AGUARDAR</x:v>
      </x:c>
      <x:c r="H6" t="str">
        <x:f>'Estoque por Lote'!B6</x:f>
        <x:v>1436</x:v>
      </x:c>
      <x:c r="I6" t="str">
        <x:f>'Estoque por Lote'!C6</x:f>
        <x:v>Big Bag 1.250 kg</x:v>
      </x:c>
    </x:row>
    <x:row r="7">
      <x:c r="A7" t="str">
        <x:f>'Estoque por Lote'!A7</x:f>
        <x:v>Colorífico</x:v>
      </x:c>
      <x:c r="B7" t="str">
        <x:f>'Estoque por Lote'!D7</x:f>
        <x:v>NE</x:v>
      </x:c>
      <x:c r="C7" s="52" t="n">
        <x:f>'Estoque por Lote'!E7</x:f>
        <x:v>46247.708333333336</x:v>
      </x:c>
      <x:c r="D7" s="53" t="n">
        <x:f>'Estoque por Lote'!H7</x:f>
        <x:v>0</x:v>
      </x:c>
      <x:c r="E7" s="53" t="n">
        <x:f>'Estoque por Lote'!I7</x:f>
        <x:v>0</x:v>
      </x:c>
      <x:c r="F7" s="53" t="str">
        <x:f>IF(B7="","",IF(D7&lt;=0,"",1+COUNTIFS($A$5:$A$104,A7,$D$5:$D$104,"&gt;0",$C$5:$C$104,"&lt;"&amp;C7)))</x:f>
      </x:c>
      <x:c r="G7" t="str">
        <x:f>IF(B7="","",IF(D7&lt;=0,"ESGOTADO",IF(F7=1,"CONSUMIR PRIMEIRO","AGUARDAR")))</x:f>
        <x:v>ESGOTADO</x:v>
      </x:c>
      <x:c r="H7" t="str">
        <x:f>'Estoque por Lote'!B7</x:f>
        <x:v>1436</x:v>
      </x:c>
      <x:c r="I7" t="str">
        <x:f>'Estoque por Lote'!C7</x:f>
        <x:v>Big Bag 1.250 kg</x:v>
      </x:c>
    </x:row>
    <x:row r="8">
      <x:c r="A8" t="str">
        <x:f>'Estoque por Lote'!A8</x:f>
        <x:v>Farinha para o Flotamil</x:v>
      </x:c>
      <x:c r="B8" t="str">
        <x:f>'Estoque por Lote'!D8</x:f>
        <x:v>FLOTAMIL-20260820</x:v>
      </x:c>
      <x:c r="C8" s="52" t="n">
        <x:f>'Estoque por Lote'!E8</x:f>
        <x:v>46254.708333333336</x:v>
      </x:c>
      <x:c r="D8" s="53" t="n">
        <x:f>'Estoque por Lote'!H8</x:f>
        <x:v>1672</x:v>
      </x:c>
      <x:c r="E8" s="53" t="n">
        <x:f>'Estoque por Lote'!I8</x:f>
        <x:v>1672</x:v>
      </x:c>
      <x:c r="F8" s="53" t="n">
        <x:f>IF(B8="","",IF(D8&lt;=0,"",1+COUNTIFS($A$5:$A$104,A8,$D$5:$D$104,"&gt;0",$C$5:$C$104,"&lt;"&amp;C8)))</x:f>
        <x:v>1</x:v>
      </x:c>
      <x:c r="G8" t="str">
        <x:f>IF(B8="","",IF(D8&lt;=0,"ESGOTADO",IF(F8=1,"CONSUMIR PRIMEIRO","AGUARDAR")))</x:f>
        <x:v>CONSUMIR PRIMEIRO</x:v>
      </x:c>
      <x:c r="H8" t="str">
        <x:f>'Estoque por Lote'!B8</x:f>
        <x:v>691</x:v>
      </x:c>
      <x:c r="I8" t="str">
        <x:f>'Estoque por Lote'!C8</x:f>
        <x:v>Farinha</x:v>
      </x:c>
    </x:row>
    <x:row r="9">
      <x:c r="A9" t="str">
        <x:f>'Estoque por Lote'!A9</x:f>
        <x:v>Farinheira</x:v>
      </x:c>
      <x:c r="B9" t="str">
        <x:f>'Estoque por Lote'!D9</x:f>
        <x:v>0034H26IT</x:v>
      </x:c>
      <x:c r="C9" s="52" t="n">
        <x:f>'Estoque por Lote'!E9</x:f>
        <x:v>46237.708333333336</x:v>
      </x:c>
      <x:c r="D9" s="53" t="n">
        <x:f>'Estoque por Lote'!H9</x:f>
        <x:v>13</x:v>
      </x:c>
      <x:c r="E9" s="53" t="n">
        <x:f>'Estoque por Lote'!I9</x:f>
        <x:v>16900</x:v>
      </x:c>
      <x:c r="F9" s="53" t="n">
        <x:f>IF(B9="","",IF(D9&lt;=0,"",1+COUNTIFS($A$5:$A$104,A9,$D$5:$D$104,"&gt;0",$C$5:$C$104,"&lt;"&amp;C9)))</x:f>
        <x:v>1</x:v>
      </x:c>
      <x:c r="G9" t="str">
        <x:f>IF(B9="","",IF(D9&lt;=0,"ESGOTADO",IF(F9=1,"CONSUMIR PRIMEIRO","AGUARDAR")))</x:f>
        <x:v>CONSUMIR PRIMEIRO</x:v>
      </x:c>
      <x:c r="H9" t="str">
        <x:f>'Estoque por Lote'!B9</x:f>
        <x:v>1437</x:v>
      </x:c>
      <x:c r="I9" t="str">
        <x:f>'Estoque por Lote'!C9</x:f>
        <x:v>Big Bag 1.300 kg</x:v>
      </x:c>
    </x:row>
    <x:row r="10">
      <x:c r="A10" t="str">
        <x:f>'Estoque por Lote'!A10</x:f>
        <x:v>Farinheira</x:v>
      </x:c>
      <x:c r="B10" t="str">
        <x:f>'Estoque por Lote'!D10</x:f>
        <x:v>0120G26IT</x:v>
      </x:c>
      <x:c r="C10" s="52" t="n">
        <x:f>'Estoque por Lote'!E10</x:f>
        <x:v>46210.708333333336</x:v>
      </x:c>
      <x:c r="D10" s="53" t="n">
        <x:f>'Estoque por Lote'!H10</x:f>
        <x:v>0</x:v>
      </x:c>
      <x:c r="E10" s="53" t="n">
        <x:f>'Estoque por Lote'!I10</x:f>
        <x:v>0</x:v>
      </x:c>
      <x:c r="F10" s="53" t="str">
        <x:f>IF(B10="","",IF(D10&lt;=0,"",1+COUNTIFS($A$5:$A$104,A10,$D$5:$D$104,"&gt;0",$C$5:$C$104,"&lt;"&amp;C10)))</x:f>
      </x:c>
      <x:c r="G10" t="str">
        <x:f>IF(B10="","",IF(D10&lt;=0,"ESGOTADO",IF(F10=1,"CONSUMIR PRIMEIRO","AGUARDAR")))</x:f>
        <x:v>ESGOTADO</x:v>
      </x:c>
      <x:c r="H10" t="str">
        <x:f>'Estoque por Lote'!B10</x:f>
        <x:v>1437</x:v>
      </x:c>
      <x:c r="I10" t="str">
        <x:f>'Estoque por Lote'!C10</x:f>
        <x:v>Big Bag 1.300 kg</x:v>
      </x:c>
    </x:row>
    <x:row r="11">
      <x:c r="A11" t="str">
        <x:f>'Estoque por Lote'!A11</x:f>
        <x:v>Farinheira</x:v>
      </x:c>
      <x:c r="B11" t="str">
        <x:f>'Estoque por Lote'!D11</x:f>
        <x:v>0146H26IT</x:v>
      </x:c>
      <x:c r="C11" s="52" t="n">
        <x:f>'Estoque por Lote'!E11</x:f>
        <x:v>46245.708333333336</x:v>
      </x:c>
      <x:c r="D11" s="53" t="n">
        <x:f>'Estoque por Lote'!H11</x:f>
        <x:v>22</x:v>
      </x:c>
      <x:c r="E11" s="53" t="n">
        <x:f>'Estoque por Lote'!I11</x:f>
        <x:v>28600</x:v>
      </x:c>
      <x:c r="F11" s="53" t="n">
        <x:f>IF(B11="","",IF(D11&lt;=0,"",1+COUNTIFS($A$5:$A$104,A11,$D$5:$D$104,"&gt;0",$C$5:$C$104,"&lt;"&amp;C11)))</x:f>
        <x:v>3</x:v>
      </x:c>
      <x:c r="G11" t="str">
        <x:f>IF(B11="","",IF(D11&lt;=0,"ESGOTADO",IF(F11=1,"CONSUMIR PRIMEIRO","AGUARDAR")))</x:f>
        <x:v>AGUARDAR</x:v>
      </x:c>
      <x:c r="H11" t="str">
        <x:f>'Estoque por Lote'!B11</x:f>
        <x:v>1437</x:v>
      </x:c>
      <x:c r="I11" t="str">
        <x:f>'Estoque por Lote'!C11</x:f>
        <x:v>Big Bag 1.300 kg</x:v>
      </x:c>
    </x:row>
    <x:row r="12">
      <x:c r="A12" t="str">
        <x:f>'Estoque por Lote'!A12</x:f>
        <x:v>Farinheira</x:v>
      </x:c>
      <x:c r="B12" t="str">
        <x:f>'Estoque por Lote'!D12</x:f>
        <x:v>0232H26IT</x:v>
      </x:c>
      <x:c r="C12" s="52" t="n">
        <x:f>'Estoque por Lote'!E12</x:f>
        <x:v>46251.708333333336</x:v>
      </x:c>
      <x:c r="D12" s="53" t="n">
        <x:f>'Estoque por Lote'!H12</x:f>
        <x:v>11</x:v>
      </x:c>
      <x:c r="E12" s="53" t="n">
        <x:f>'Estoque por Lote'!I12</x:f>
        <x:v>14300</x:v>
      </x:c>
      <x:c r="F12" s="53" t="n">
        <x:f>IF(B12="","",IF(D12&lt;=0,"",1+COUNTIFS($A$5:$A$104,A12,$D$5:$D$104,"&gt;0",$C$5:$C$104,"&lt;"&amp;C12)))</x:f>
        <x:v>4</x:v>
      </x:c>
      <x:c r="G12" t="str">
        <x:f>IF(B12="","",IF(D12&lt;=0,"ESGOTADO",IF(F12=1,"CONSUMIR PRIMEIRO","AGUARDAR")))</x:f>
        <x:v>AGUARDAR</x:v>
      </x:c>
      <x:c r="H12" t="str">
        <x:f>'Estoque por Lote'!B12</x:f>
        <x:v>1437</x:v>
      </x:c>
      <x:c r="I12" t="str">
        <x:f>'Estoque por Lote'!C12</x:f>
        <x:v>Big Bag 1.300 kg</x:v>
      </x:c>
    </x:row>
    <x:row r="13">
      <x:c r="A13" t="str">
        <x:f>'Estoque por Lote'!A13</x:f>
        <x:v>Farinheira</x:v>
      </x:c>
      <x:c r="B13" t="str">
        <x:f>'Estoque por Lote'!D13</x:f>
        <x:v>0305G6IT</x:v>
      </x:c>
      <x:c r="C13" s="52" t="n">
        <x:f>'Estoque por Lote'!E13</x:f>
        <x:v>46224.708333333336</x:v>
      </x:c>
      <x:c r="D13" s="53" t="n">
        <x:f>'Estoque por Lote'!H13</x:f>
        <x:v>0</x:v>
      </x:c>
      <x:c r="E13" s="53" t="n">
        <x:f>'Estoque por Lote'!I13</x:f>
        <x:v>0</x:v>
      </x:c>
      <x:c r="F13" s="53" t="str">
        <x:f>IF(B13="","",IF(D13&lt;=0,"",1+COUNTIFS($A$5:$A$104,A13,$D$5:$D$104,"&gt;0",$C$5:$C$104,"&lt;"&amp;C13)))</x:f>
      </x:c>
      <x:c r="G13" t="str">
        <x:f>IF(B13="","",IF(D13&lt;=0,"ESGOTADO",IF(F13=1,"CONSUMIR PRIMEIRO","AGUARDAR")))</x:f>
        <x:v>ESGOTADO</x:v>
      </x:c>
      <x:c r="H13" t="str">
        <x:f>'Estoque por Lote'!B13</x:f>
        <x:v>1437</x:v>
      </x:c>
      <x:c r="I13" t="str">
        <x:f>'Estoque por Lote'!C13</x:f>
        <x:v>Big Bag 1.300 kg</x:v>
      </x:c>
    </x:row>
    <x:row r="14">
      <x:c r="A14" t="str">
        <x:f>'Estoque por Lote'!A14</x:f>
        <x:v>Farinheira</x:v>
      </x:c>
      <x:c r="B14" t="str">
        <x:f>'Estoque por Lote'!D14</x:f>
        <x:v>0401G26IT</x:v>
      </x:c>
      <x:c r="C14" s="52" t="n">
        <x:f>'Estoque por Lote'!E14</x:f>
        <x:v>46237.708333333336</x:v>
      </x:c>
      <x:c r="D14" s="53" t="n">
        <x:f>'Estoque por Lote'!H14</x:f>
        <x:v>4</x:v>
      </x:c>
      <x:c r="E14" s="53" t="n">
        <x:f>'Estoque por Lote'!I14</x:f>
        <x:v>5200</x:v>
      </x:c>
      <x:c r="F14" s="53" t="n">
        <x:f>IF(B14="","",IF(D14&lt;=0,"",1+COUNTIFS($A$5:$A$104,A14,$D$5:$D$104,"&gt;0",$C$5:$C$104,"&lt;"&amp;C14)))</x:f>
        <x:v>1</x:v>
      </x:c>
      <x:c r="G14" t="str">
        <x:f>IF(B14="","",IF(D14&lt;=0,"ESGOTADO",IF(F14=1,"CONSUMIR PRIMEIRO","AGUARDAR")))</x:f>
        <x:v>CONSUMIR PRIMEIRO</x:v>
      </x:c>
      <x:c r="H14" t="str">
        <x:f>'Estoque por Lote'!B14</x:f>
        <x:v>1437</x:v>
      </x:c>
      <x:c r="I14" t="str">
        <x:f>'Estoque por Lote'!C14</x:f>
        <x:v>Big Bag 1.300 kg</x:v>
      </x:c>
    </x:row>
    <x:row r="15">
      <x:c r="A15" t="n">
        <x:f>'Estoque por Lote'!A15</x:f>
        <x:v>0</x:v>
      </x:c>
      <x:c r="B15" t="n">
        <x:f>'Estoque por Lote'!D15</x:f>
        <x:v>0</x:v>
      </x:c>
      <x:c r="C15" s="52" t="str">
        <x:f>'Estoque por Lote'!E15</x:f>
      </x:c>
      <x:c r="D15" s="53" t="str">
        <x:f>'Estoque por Lote'!H15</x:f>
      </x:c>
      <x:c r="E15" s="53" t="str">
        <x:f>'Estoque por Lote'!I15</x:f>
      </x:c>
      <x:c r="F15" s="53" t="str">
        <x:f>IF(B15="","",IF(D15&lt;=0,"",1+COUNTIFS($A$5:$A$104,A15,$D$5:$D$104,"&gt;0",$C$5:$C$104,"&lt;"&amp;C15)))</x:f>
      </x:c>
      <x:c r="G15" t="str">
        <x:f>IF(B15="","",IF(D15&lt;=0,"ESGOTADO",IF(F15=1,"CONSUMIR PRIMEIRO","AGUARDAR")))</x:f>
      </x:c>
      <x:c r="H15" t="n">
        <x:f>'Estoque por Lote'!B15</x:f>
        <x:v>0</x:v>
      </x:c>
      <x:c r="I15" t="n">
        <x:f>'Estoque por Lote'!C15</x:f>
        <x:v>0</x:v>
      </x:c>
    </x:row>
    <x:row r="16">
      <x:c r="A16" t="n">
        <x:f>'Estoque por Lote'!A16</x:f>
        <x:v>0</x:v>
      </x:c>
      <x:c r="B16" t="n">
        <x:f>'Estoque por Lote'!D16</x:f>
        <x:v>0</x:v>
      </x:c>
      <x:c r="C16" s="52" t="str">
        <x:f>'Estoque por Lote'!E16</x:f>
      </x:c>
      <x:c r="D16" s="53" t="str">
        <x:f>'Estoque por Lote'!H16</x:f>
      </x:c>
      <x:c r="E16" s="53" t="str">
        <x:f>'Estoque por Lote'!I16</x:f>
      </x:c>
      <x:c r="F16" s="53" t="str">
        <x:f>IF(B16="","",IF(D16&lt;=0,"",1+COUNTIFS($A$5:$A$104,A16,$D$5:$D$104,"&gt;0",$C$5:$C$104,"&lt;"&amp;C16)))</x:f>
      </x:c>
      <x:c r="G16" t="str">
        <x:f>IF(B16="","",IF(D16&lt;=0,"ESGOTADO",IF(F16=1,"CONSUMIR PRIMEIRO","AGUARDAR")))</x:f>
      </x:c>
      <x:c r="H16" t="n">
        <x:f>'Estoque por Lote'!B16</x:f>
        <x:v>0</x:v>
      </x:c>
      <x:c r="I16" t="n">
        <x:f>'Estoque por Lote'!C16</x:f>
        <x:v>0</x:v>
      </x:c>
    </x:row>
    <x:row r="17">
      <x:c r="A17" t="n">
        <x:f>'Estoque por Lote'!A17</x:f>
        <x:v>0</x:v>
      </x:c>
      <x:c r="B17" t="n">
        <x:f>'Estoque por Lote'!D17</x:f>
        <x:v>0</x:v>
      </x:c>
      <x:c r="C17" s="52" t="str">
        <x:f>'Estoque por Lote'!E17</x:f>
      </x:c>
      <x:c r="D17" s="53" t="str">
        <x:f>'Estoque por Lote'!H17</x:f>
      </x:c>
      <x:c r="E17" s="53" t="str">
        <x:f>'Estoque por Lote'!I17</x:f>
      </x:c>
      <x:c r="F17" s="53" t="str">
        <x:f>IF(B17="","",IF(D17&lt;=0,"",1+COUNTIFS($A$5:$A$104,A17,$D$5:$D$104,"&gt;0",$C$5:$C$104,"&lt;"&amp;C17)))</x:f>
      </x:c>
      <x:c r="G17" t="str">
        <x:f>IF(B17="","",IF(D17&lt;=0,"ESGOTADO",IF(F17=1,"CONSUMIR PRIMEIRO","AGUARDAR")))</x:f>
      </x:c>
      <x:c r="H17" t="n">
        <x:f>'Estoque por Lote'!B17</x:f>
        <x:v>0</x:v>
      </x:c>
      <x:c r="I17" t="n">
        <x:f>'Estoque por Lote'!C17</x:f>
        <x:v>0</x:v>
      </x:c>
    </x:row>
    <x:row r="18">
      <x:c r="A18" t="n">
        <x:f>'Estoque por Lote'!A18</x:f>
        <x:v>0</x:v>
      </x:c>
      <x:c r="B18" t="n">
        <x:f>'Estoque por Lote'!D18</x:f>
        <x:v>0</x:v>
      </x:c>
      <x:c r="C18" s="52" t="str">
        <x:f>'Estoque por Lote'!E18</x:f>
      </x:c>
      <x:c r="D18" s="53" t="str">
        <x:f>'Estoque por Lote'!H18</x:f>
      </x:c>
      <x:c r="E18" s="53" t="str">
        <x:f>'Estoque por Lote'!I18</x:f>
      </x:c>
      <x:c r="F18" s="53" t="str">
        <x:f>IF(B18="","",IF(D18&lt;=0,"",1+COUNTIFS($A$5:$A$104,A18,$D$5:$D$104,"&gt;0",$C$5:$C$104,"&lt;"&amp;C18)))</x:f>
      </x:c>
      <x:c r="G18" t="str">
        <x:f>IF(B18="","",IF(D18&lt;=0,"ESGOTADO",IF(F18=1,"CONSUMIR PRIMEIRO","AGUARDAR")))</x:f>
      </x:c>
      <x:c r="H18" t="n">
        <x:f>'Estoque por Lote'!B18</x:f>
        <x:v>0</x:v>
      </x:c>
      <x:c r="I18" t="n">
        <x:f>'Estoque por Lote'!C18</x:f>
        <x:v>0</x:v>
      </x:c>
    </x:row>
    <x:row r="19">
      <x:c r="A19" t="n">
        <x:f>'Estoque por Lote'!A19</x:f>
        <x:v>0</x:v>
      </x:c>
      <x:c r="B19" t="n">
        <x:f>'Estoque por Lote'!D19</x:f>
        <x:v>0</x:v>
      </x:c>
      <x:c r="C19" s="52" t="str">
        <x:f>'Estoque por Lote'!E19</x:f>
      </x:c>
      <x:c r="D19" s="53" t="str">
        <x:f>'Estoque por Lote'!H19</x:f>
      </x:c>
      <x:c r="E19" s="53" t="str">
        <x:f>'Estoque por Lote'!I19</x:f>
      </x:c>
      <x:c r="F19" s="53" t="str">
        <x:f>IF(B19="","",IF(D19&lt;=0,"",1+COUNTIFS($A$5:$A$104,A19,$D$5:$D$104,"&gt;0",$C$5:$C$104,"&lt;"&amp;C19)))</x:f>
      </x:c>
      <x:c r="G19" t="str">
        <x:f>IF(B19="","",IF(D19&lt;=0,"ESGOTADO",IF(F19=1,"CONSUMIR PRIMEIRO","AGUARDAR")))</x:f>
      </x:c>
      <x:c r="H19" t="n">
        <x:f>'Estoque por Lote'!B19</x:f>
        <x:v>0</x:v>
      </x:c>
      <x:c r="I19" t="n">
        <x:f>'Estoque por Lote'!C19</x:f>
        <x:v>0</x:v>
      </x:c>
    </x:row>
    <x:row r="20">
      <x:c r="A20" t="n">
        <x:f>'Estoque por Lote'!A20</x:f>
        <x:v>0</x:v>
      </x:c>
      <x:c r="B20" t="n">
        <x:f>'Estoque por Lote'!D20</x:f>
        <x:v>0</x:v>
      </x:c>
      <x:c r="C20" s="52" t="str">
        <x:f>'Estoque por Lote'!E20</x:f>
      </x:c>
      <x:c r="D20" s="53" t="str">
        <x:f>'Estoque por Lote'!H20</x:f>
      </x:c>
      <x:c r="E20" s="53" t="str">
        <x:f>'Estoque por Lote'!I20</x:f>
      </x:c>
      <x:c r="F20" s="53" t="str">
        <x:f>IF(B20="","",IF(D20&lt;=0,"",1+COUNTIFS($A$5:$A$104,A20,$D$5:$D$104,"&gt;0",$C$5:$C$104,"&lt;"&amp;C20)))</x:f>
      </x:c>
      <x:c r="G20" t="str">
        <x:f>IF(B20="","",IF(D20&lt;=0,"ESGOTADO",IF(F20=1,"CONSUMIR PRIMEIRO","AGUARDAR")))</x:f>
      </x:c>
      <x:c r="H20" t="n">
        <x:f>'Estoque por Lote'!B20</x:f>
        <x:v>0</x:v>
      </x:c>
      <x:c r="I20" t="n">
        <x:f>'Estoque por Lote'!C20</x:f>
        <x:v>0</x:v>
      </x:c>
    </x:row>
    <x:row r="21">
      <x:c r="A21" t="n">
        <x:f>'Estoque por Lote'!A21</x:f>
        <x:v>0</x:v>
      </x:c>
      <x:c r="B21" t="n">
        <x:f>'Estoque por Lote'!D21</x:f>
        <x:v>0</x:v>
      </x:c>
      <x:c r="C21" s="52" t="str">
        <x:f>'Estoque por Lote'!E21</x:f>
      </x:c>
      <x:c r="D21" s="53" t="str">
        <x:f>'Estoque por Lote'!H21</x:f>
      </x:c>
      <x:c r="E21" s="53" t="str">
        <x:f>'Estoque por Lote'!I21</x:f>
      </x:c>
      <x:c r="F21" s="53" t="str">
        <x:f>IF(B21="","",IF(D21&lt;=0,"",1+COUNTIFS($A$5:$A$104,A21,$D$5:$D$104,"&gt;0",$C$5:$C$104,"&lt;"&amp;C21)))</x:f>
      </x:c>
      <x:c r="G21" t="str">
        <x:f>IF(B21="","",IF(D21&lt;=0,"ESGOTADO",IF(F21=1,"CONSUMIR PRIMEIRO","AGUARDAR")))</x:f>
      </x:c>
      <x:c r="H21" t="n">
        <x:f>'Estoque por Lote'!B21</x:f>
        <x:v>0</x:v>
      </x:c>
      <x:c r="I21" t="n">
        <x:f>'Estoque por Lote'!C21</x:f>
        <x:v>0</x:v>
      </x:c>
    </x:row>
    <x:row r="22">
      <x:c r="A22" t="n">
        <x:f>'Estoque por Lote'!A22</x:f>
        <x:v>0</x:v>
      </x:c>
      <x:c r="B22" t="n">
        <x:f>'Estoque por Lote'!D22</x:f>
        <x:v>0</x:v>
      </x:c>
      <x:c r="C22" s="52" t="str">
        <x:f>'Estoque por Lote'!E22</x:f>
      </x:c>
      <x:c r="D22" s="53" t="str">
        <x:f>'Estoque por Lote'!H22</x:f>
      </x:c>
      <x:c r="E22" s="53" t="str">
        <x:f>'Estoque por Lote'!I22</x:f>
      </x:c>
      <x:c r="F22" s="53" t="str">
        <x:f>IF(B22="","",IF(D22&lt;=0,"",1+COUNTIFS($A$5:$A$104,A22,$D$5:$D$104,"&gt;0",$C$5:$C$104,"&lt;"&amp;C22)))</x:f>
      </x:c>
      <x:c r="G22" t="str">
        <x:f>IF(B22="","",IF(D22&lt;=0,"ESGOTADO",IF(F22=1,"CONSUMIR PRIMEIRO","AGUARDAR")))</x:f>
      </x:c>
      <x:c r="H22" t="n">
        <x:f>'Estoque por Lote'!B22</x:f>
        <x:v>0</x:v>
      </x:c>
      <x:c r="I22" t="n">
        <x:f>'Estoque por Lote'!C22</x:f>
        <x:v>0</x:v>
      </x:c>
    </x:row>
    <x:row r="23">
      <x:c r="A23" t="n">
        <x:f>'Estoque por Lote'!A23</x:f>
        <x:v>0</x:v>
      </x:c>
      <x:c r="B23" t="n">
        <x:f>'Estoque por Lote'!D23</x:f>
        <x:v>0</x:v>
      </x:c>
      <x:c r="C23" s="52" t="str">
        <x:f>'Estoque por Lote'!E23</x:f>
      </x:c>
      <x:c r="D23" s="53" t="str">
        <x:f>'Estoque por Lote'!H23</x:f>
      </x:c>
      <x:c r="E23" s="53" t="str">
        <x:f>'Estoque por Lote'!I23</x:f>
      </x:c>
      <x:c r="F23" s="53" t="str">
        <x:f>IF(B23="","",IF(D23&lt;=0,"",1+COUNTIFS($A$5:$A$104,A23,$D$5:$D$104,"&gt;0",$C$5:$C$104,"&lt;"&amp;C23)))</x:f>
      </x:c>
      <x:c r="G23" t="str">
        <x:f>IF(B23="","",IF(D23&lt;=0,"ESGOTADO",IF(F23=1,"CONSUMIR PRIMEIRO","AGUARDAR")))</x:f>
      </x:c>
      <x:c r="H23" t="n">
        <x:f>'Estoque por Lote'!B23</x:f>
        <x:v>0</x:v>
      </x:c>
      <x:c r="I23" t="n">
        <x:f>'Estoque por Lote'!C23</x:f>
        <x:v>0</x:v>
      </x:c>
    </x:row>
    <x:row r="24">
      <x:c r="A24" t="n">
        <x:f>'Estoque por Lote'!A24</x:f>
        <x:v>0</x:v>
      </x:c>
      <x:c r="B24" t="n">
        <x:f>'Estoque por Lote'!D24</x:f>
        <x:v>0</x:v>
      </x:c>
      <x:c r="C24" s="52" t="str">
        <x:f>'Estoque por Lote'!E24</x:f>
      </x:c>
      <x:c r="D24" s="53" t="str">
        <x:f>'Estoque por Lote'!H24</x:f>
      </x:c>
      <x:c r="E24" s="53" t="str">
        <x:f>'Estoque por Lote'!I24</x:f>
      </x:c>
      <x:c r="F24" s="53" t="str">
        <x:f>IF(B24="","",IF(D24&lt;=0,"",1+COUNTIFS($A$5:$A$104,A24,$D$5:$D$104,"&gt;0",$C$5:$C$104,"&lt;"&amp;C24)))</x:f>
      </x:c>
      <x:c r="G24" t="str">
        <x:f>IF(B24="","",IF(D24&lt;=0,"ESGOTADO",IF(F24=1,"CONSUMIR PRIMEIRO","AGUARDAR")))</x:f>
      </x:c>
      <x:c r="H24" t="n">
        <x:f>'Estoque por Lote'!B24</x:f>
        <x:v>0</x:v>
      </x:c>
      <x:c r="I24" t="n">
        <x:f>'Estoque por Lote'!C24</x:f>
        <x:v>0</x:v>
      </x:c>
    </x:row>
    <x:row r="25">
      <x:c r="A25" t="n">
        <x:f>'Estoque por Lote'!A25</x:f>
        <x:v>0</x:v>
      </x:c>
      <x:c r="B25" t="n">
        <x:f>'Estoque por Lote'!D25</x:f>
        <x:v>0</x:v>
      </x:c>
      <x:c r="C25" s="52" t="str">
        <x:f>'Estoque por Lote'!E25</x:f>
      </x:c>
      <x:c r="D25" s="53" t="str">
        <x:f>'Estoque por Lote'!H25</x:f>
      </x:c>
      <x:c r="E25" s="53" t="str">
        <x:f>'Estoque por Lote'!I25</x:f>
      </x:c>
      <x:c r="F25" s="53" t="str">
        <x:f>IF(B25="","",IF(D25&lt;=0,"",1+COUNTIFS($A$5:$A$104,A25,$D$5:$D$104,"&gt;0",$C$5:$C$104,"&lt;"&amp;C25)))</x:f>
      </x:c>
      <x:c r="G25" t="str">
        <x:f>IF(B25="","",IF(D25&lt;=0,"ESGOTADO",IF(F25=1,"CONSUMIR PRIMEIRO","AGUARDAR")))</x:f>
      </x:c>
      <x:c r="H25" t="n">
        <x:f>'Estoque por Lote'!B25</x:f>
        <x:v>0</x:v>
      </x:c>
      <x:c r="I25" t="n">
        <x:f>'Estoque por Lote'!C25</x:f>
        <x:v>0</x:v>
      </x:c>
    </x:row>
    <x:row r="26">
      <x:c r="A26" t="n">
        <x:f>'Estoque por Lote'!A26</x:f>
        <x:v>0</x:v>
      </x:c>
      <x:c r="B26" t="n">
        <x:f>'Estoque por Lote'!D26</x:f>
        <x:v>0</x:v>
      </x:c>
      <x:c r="C26" s="52" t="str">
        <x:f>'Estoque por Lote'!E26</x:f>
      </x:c>
      <x:c r="D26" s="53" t="str">
        <x:f>'Estoque por Lote'!H26</x:f>
      </x:c>
      <x:c r="E26" s="53" t="str">
        <x:f>'Estoque por Lote'!I26</x:f>
      </x:c>
      <x:c r="F26" s="53" t="str">
        <x:f>IF(B26="","",IF(D26&lt;=0,"",1+COUNTIFS($A$5:$A$104,A26,$D$5:$D$104,"&gt;0",$C$5:$C$104,"&lt;"&amp;C26)))</x:f>
      </x:c>
      <x:c r="G26" t="str">
        <x:f>IF(B26="","",IF(D26&lt;=0,"ESGOTADO",IF(F26=1,"CONSUMIR PRIMEIRO","AGUARDAR")))</x:f>
      </x:c>
      <x:c r="H26" t="n">
        <x:f>'Estoque por Lote'!B26</x:f>
        <x:v>0</x:v>
      </x:c>
      <x:c r="I26" t="n">
        <x:f>'Estoque por Lote'!C26</x:f>
        <x:v>0</x:v>
      </x:c>
    </x:row>
    <x:row r="27">
      <x:c r="A27" t="n">
        <x:f>'Estoque por Lote'!A27</x:f>
        <x:v>0</x:v>
      </x:c>
      <x:c r="B27" t="n">
        <x:f>'Estoque por Lote'!D27</x:f>
        <x:v>0</x:v>
      </x:c>
      <x:c r="C27" s="52" t="str">
        <x:f>'Estoque por Lote'!E27</x:f>
      </x:c>
      <x:c r="D27" s="53" t="str">
        <x:f>'Estoque por Lote'!H27</x:f>
      </x:c>
      <x:c r="E27" s="53" t="str">
        <x:f>'Estoque por Lote'!I27</x:f>
      </x:c>
      <x:c r="F27" s="53" t="str">
        <x:f>IF(B27="","",IF(D27&lt;=0,"",1+COUNTIFS($A$5:$A$104,A27,$D$5:$D$104,"&gt;0",$C$5:$C$104,"&lt;"&amp;C27)))</x:f>
      </x:c>
      <x:c r="G27" t="str">
        <x:f>IF(B27="","",IF(D27&lt;=0,"ESGOTADO",IF(F27=1,"CONSUMIR PRIMEIRO","AGUARDAR")))</x:f>
      </x:c>
      <x:c r="H27" t="n">
        <x:f>'Estoque por Lote'!B27</x:f>
        <x:v>0</x:v>
      </x:c>
      <x:c r="I27" t="n">
        <x:f>'Estoque por Lote'!C27</x:f>
        <x:v>0</x:v>
      </x:c>
    </x:row>
    <x:row r="28">
      <x:c r="A28" t="n">
        <x:f>'Estoque por Lote'!A28</x:f>
        <x:v>0</x:v>
      </x:c>
      <x:c r="B28" t="n">
        <x:f>'Estoque por Lote'!D28</x:f>
        <x:v>0</x:v>
      </x:c>
      <x:c r="C28" s="52" t="str">
        <x:f>'Estoque por Lote'!E28</x:f>
      </x:c>
      <x:c r="D28" s="53" t="str">
        <x:f>'Estoque por Lote'!H28</x:f>
      </x:c>
      <x:c r="E28" s="53" t="str">
        <x:f>'Estoque por Lote'!I28</x:f>
      </x:c>
      <x:c r="F28" s="53" t="str">
        <x:f>IF(B28="","",IF(D28&lt;=0,"",1+COUNTIFS($A$5:$A$104,A28,$D$5:$D$104,"&gt;0",$C$5:$C$104,"&lt;"&amp;C28)))</x:f>
      </x:c>
      <x:c r="G28" t="str">
        <x:f>IF(B28="","",IF(D28&lt;=0,"ESGOTADO",IF(F28=1,"CONSUMIR PRIMEIRO","AGUARDAR")))</x:f>
      </x:c>
      <x:c r="H28" t="n">
        <x:f>'Estoque por Lote'!B28</x:f>
        <x:v>0</x:v>
      </x:c>
      <x:c r="I28" t="n">
        <x:f>'Estoque por Lote'!C28</x:f>
        <x:v>0</x:v>
      </x:c>
    </x:row>
    <x:row r="29">
      <x:c r="A29" t="n">
        <x:f>'Estoque por Lote'!A29</x:f>
        <x:v>0</x:v>
      </x:c>
      <x:c r="B29" t="n">
        <x:f>'Estoque por Lote'!D29</x:f>
        <x:v>0</x:v>
      </x:c>
      <x:c r="C29" s="52" t="str">
        <x:f>'Estoque por Lote'!E29</x:f>
      </x:c>
      <x:c r="D29" s="53" t="str">
        <x:f>'Estoque por Lote'!H29</x:f>
      </x:c>
      <x:c r="E29" s="53" t="str">
        <x:f>'Estoque por Lote'!I29</x:f>
      </x:c>
      <x:c r="F29" s="53" t="str">
        <x:f>IF(B29="","",IF(D29&lt;=0,"",1+COUNTIFS($A$5:$A$104,A29,$D$5:$D$104,"&gt;0",$C$5:$C$104,"&lt;"&amp;C29)))</x:f>
      </x:c>
      <x:c r="G29" t="str">
        <x:f>IF(B29="","",IF(D29&lt;=0,"ESGOTADO",IF(F29=1,"CONSUMIR PRIMEIRO","AGUARDAR")))</x:f>
      </x:c>
      <x:c r="H29" t="n">
        <x:f>'Estoque por Lote'!B29</x:f>
        <x:v>0</x:v>
      </x:c>
      <x:c r="I29" t="n">
        <x:f>'Estoque por Lote'!C29</x:f>
        <x:v>0</x:v>
      </x:c>
    </x:row>
    <x:row r="30">
      <x:c r="A30" t="n">
        <x:f>'Estoque por Lote'!A30</x:f>
        <x:v>0</x:v>
      </x:c>
      <x:c r="B30" t="n">
        <x:f>'Estoque por Lote'!D30</x:f>
        <x:v>0</x:v>
      </x:c>
      <x:c r="C30" s="52" t="str">
        <x:f>'Estoque por Lote'!E30</x:f>
      </x:c>
      <x:c r="D30" s="53" t="str">
        <x:f>'Estoque por Lote'!H30</x:f>
      </x:c>
      <x:c r="E30" s="53" t="str">
        <x:f>'Estoque por Lote'!I30</x:f>
      </x:c>
      <x:c r="F30" s="53" t="str">
        <x:f>IF(B30="","",IF(D30&lt;=0,"",1+COUNTIFS($A$5:$A$104,A30,$D$5:$D$104,"&gt;0",$C$5:$C$104,"&lt;"&amp;C30)))</x:f>
      </x:c>
      <x:c r="G30" t="str">
        <x:f>IF(B30="","",IF(D30&lt;=0,"ESGOTADO",IF(F30=1,"CONSUMIR PRIMEIRO","AGUARDAR")))</x:f>
      </x:c>
      <x:c r="H30" t="n">
        <x:f>'Estoque por Lote'!B30</x:f>
        <x:v>0</x:v>
      </x:c>
      <x:c r="I30" t="n">
        <x:f>'Estoque por Lote'!C30</x:f>
        <x:v>0</x:v>
      </x:c>
    </x:row>
    <x:row r="31">
      <x:c r="A31" t="n">
        <x:f>'Estoque por Lote'!A31</x:f>
        <x:v>0</x:v>
      </x:c>
      <x:c r="B31" t="n">
        <x:f>'Estoque por Lote'!D31</x:f>
        <x:v>0</x:v>
      </x:c>
      <x:c r="C31" s="52" t="str">
        <x:f>'Estoque por Lote'!E31</x:f>
      </x:c>
      <x:c r="D31" s="53" t="str">
        <x:f>'Estoque por Lote'!H31</x:f>
      </x:c>
      <x:c r="E31" s="53" t="str">
        <x:f>'Estoque por Lote'!I31</x:f>
      </x:c>
      <x:c r="F31" s="53" t="str">
        <x:f>IF(B31="","",IF(D31&lt;=0,"",1+COUNTIFS($A$5:$A$104,A31,$D$5:$D$104,"&gt;0",$C$5:$C$104,"&lt;"&amp;C31)))</x:f>
      </x:c>
      <x:c r="G31" t="str">
        <x:f>IF(B31="","",IF(D31&lt;=0,"ESGOTADO",IF(F31=1,"CONSUMIR PRIMEIRO","AGUARDAR")))</x:f>
      </x:c>
      <x:c r="H31" t="n">
        <x:f>'Estoque por Lote'!B31</x:f>
        <x:v>0</x:v>
      </x:c>
      <x:c r="I31" t="n">
        <x:f>'Estoque por Lote'!C31</x:f>
        <x:v>0</x:v>
      </x:c>
    </x:row>
    <x:row r="32">
      <x:c r="A32" t="n">
        <x:f>'Estoque por Lote'!A32</x:f>
        <x:v>0</x:v>
      </x:c>
      <x:c r="B32" t="n">
        <x:f>'Estoque por Lote'!D32</x:f>
        <x:v>0</x:v>
      </x:c>
      <x:c r="C32" s="52" t="str">
        <x:f>'Estoque por Lote'!E32</x:f>
      </x:c>
      <x:c r="D32" s="53" t="str">
        <x:f>'Estoque por Lote'!H32</x:f>
      </x:c>
      <x:c r="E32" s="53" t="str">
        <x:f>'Estoque por Lote'!I32</x:f>
      </x:c>
      <x:c r="F32" s="53" t="str">
        <x:f>IF(B32="","",IF(D32&lt;=0,"",1+COUNTIFS($A$5:$A$104,A32,$D$5:$D$104,"&gt;0",$C$5:$C$104,"&lt;"&amp;C32)))</x:f>
      </x:c>
      <x:c r="G32" t="str">
        <x:f>IF(B32="","",IF(D32&lt;=0,"ESGOTADO",IF(F32=1,"CONSUMIR PRIMEIRO","AGUARDAR")))</x:f>
      </x:c>
      <x:c r="H32" t="n">
        <x:f>'Estoque por Lote'!B32</x:f>
        <x:v>0</x:v>
      </x:c>
      <x:c r="I32" t="n">
        <x:f>'Estoque por Lote'!C32</x:f>
        <x:v>0</x:v>
      </x:c>
    </x:row>
    <x:row r="33">
      <x:c r="A33" t="n">
        <x:f>'Estoque por Lote'!A33</x:f>
        <x:v>0</x:v>
      </x:c>
      <x:c r="B33" t="n">
        <x:f>'Estoque por Lote'!D33</x:f>
        <x:v>0</x:v>
      </x:c>
      <x:c r="C33" s="52" t="str">
        <x:f>'Estoque por Lote'!E33</x:f>
      </x:c>
      <x:c r="D33" s="53" t="str">
        <x:f>'Estoque por Lote'!H33</x:f>
      </x:c>
      <x:c r="E33" s="53" t="str">
        <x:f>'Estoque por Lote'!I33</x:f>
      </x:c>
      <x:c r="F33" s="53" t="str">
        <x:f>IF(B33="","",IF(D33&lt;=0,"",1+COUNTIFS($A$5:$A$104,A33,$D$5:$D$104,"&gt;0",$C$5:$C$104,"&lt;"&amp;C33)))</x:f>
      </x:c>
      <x:c r="G33" t="str">
        <x:f>IF(B33="","",IF(D33&lt;=0,"ESGOTADO",IF(F33=1,"CONSUMIR PRIMEIRO","AGUARDAR")))</x:f>
      </x:c>
      <x:c r="H33" t="n">
        <x:f>'Estoque por Lote'!B33</x:f>
        <x:v>0</x:v>
      </x:c>
      <x:c r="I33" t="n">
        <x:f>'Estoque por Lote'!C33</x:f>
        <x:v>0</x:v>
      </x:c>
    </x:row>
    <x:row r="34">
      <x:c r="A34" t="n">
        <x:f>'Estoque por Lote'!A34</x:f>
        <x:v>0</x:v>
      </x:c>
      <x:c r="B34" t="n">
        <x:f>'Estoque por Lote'!D34</x:f>
        <x:v>0</x:v>
      </x:c>
      <x:c r="C34" s="52" t="str">
        <x:f>'Estoque por Lote'!E34</x:f>
      </x:c>
      <x:c r="D34" s="53" t="str">
        <x:f>'Estoque por Lote'!H34</x:f>
      </x:c>
      <x:c r="E34" s="53" t="str">
        <x:f>'Estoque por Lote'!I34</x:f>
      </x:c>
      <x:c r="F34" s="53" t="str">
        <x:f>IF(B34="","",IF(D34&lt;=0,"",1+COUNTIFS($A$5:$A$104,A34,$D$5:$D$104,"&gt;0",$C$5:$C$104,"&lt;"&amp;C34)))</x:f>
      </x:c>
      <x:c r="G34" t="str">
        <x:f>IF(B34="","",IF(D34&lt;=0,"ESGOTADO",IF(F34=1,"CONSUMIR PRIMEIRO","AGUARDAR")))</x:f>
      </x:c>
      <x:c r="H34" t="n">
        <x:f>'Estoque por Lote'!B34</x:f>
        <x:v>0</x:v>
      </x:c>
      <x:c r="I34" t="n">
        <x:f>'Estoque por Lote'!C34</x:f>
        <x:v>0</x:v>
      </x:c>
    </x:row>
    <x:row r="35">
      <x:c r="A35" t="n">
        <x:f>'Estoque por Lote'!A35</x:f>
        <x:v>0</x:v>
      </x:c>
      <x:c r="B35" t="n">
        <x:f>'Estoque por Lote'!D35</x:f>
        <x:v>0</x:v>
      </x:c>
      <x:c r="C35" s="52" t="str">
        <x:f>'Estoque por Lote'!E35</x:f>
      </x:c>
      <x:c r="D35" s="53" t="str">
        <x:f>'Estoque por Lote'!H35</x:f>
      </x:c>
      <x:c r="E35" s="53" t="str">
        <x:f>'Estoque por Lote'!I35</x:f>
      </x:c>
      <x:c r="F35" s="53" t="str">
        <x:f>IF(B35="","",IF(D35&lt;=0,"",1+COUNTIFS($A$5:$A$104,A35,$D$5:$D$104,"&gt;0",$C$5:$C$104,"&lt;"&amp;C35)))</x:f>
      </x:c>
      <x:c r="G35" t="str">
        <x:f>IF(B35="","",IF(D35&lt;=0,"ESGOTADO",IF(F35=1,"CONSUMIR PRIMEIRO","AGUARDAR")))</x:f>
      </x:c>
      <x:c r="H35" t="n">
        <x:f>'Estoque por Lote'!B35</x:f>
        <x:v>0</x:v>
      </x:c>
      <x:c r="I35" t="n">
        <x:f>'Estoque por Lote'!C35</x:f>
        <x:v>0</x:v>
      </x:c>
    </x:row>
    <x:row r="36">
      <x:c r="A36" t="n">
        <x:f>'Estoque por Lote'!A36</x:f>
        <x:v>0</x:v>
      </x:c>
      <x:c r="B36" t="n">
        <x:f>'Estoque por Lote'!D36</x:f>
        <x:v>0</x:v>
      </x:c>
      <x:c r="C36" s="52" t="str">
        <x:f>'Estoque por Lote'!E36</x:f>
      </x:c>
      <x:c r="D36" s="53" t="str">
        <x:f>'Estoque por Lote'!H36</x:f>
      </x:c>
      <x:c r="E36" s="53" t="str">
        <x:f>'Estoque por Lote'!I36</x:f>
      </x:c>
      <x:c r="F36" s="53" t="str">
        <x:f>IF(B36="","",IF(D36&lt;=0,"",1+COUNTIFS($A$5:$A$104,A36,$D$5:$D$104,"&gt;0",$C$5:$C$104,"&lt;"&amp;C36)))</x:f>
      </x:c>
      <x:c r="G36" t="str">
        <x:f>IF(B36="","",IF(D36&lt;=0,"ESGOTADO",IF(F36=1,"CONSUMIR PRIMEIRO","AGUARDAR")))</x:f>
      </x:c>
      <x:c r="H36" t="n">
        <x:f>'Estoque por Lote'!B36</x:f>
        <x:v>0</x:v>
      </x:c>
      <x:c r="I36" t="n">
        <x:f>'Estoque por Lote'!C36</x:f>
        <x:v>0</x:v>
      </x:c>
    </x:row>
    <x:row r="37">
      <x:c r="A37" t="n">
        <x:f>'Estoque por Lote'!A37</x:f>
        <x:v>0</x:v>
      </x:c>
      <x:c r="B37" t="n">
        <x:f>'Estoque por Lote'!D37</x:f>
        <x:v>0</x:v>
      </x:c>
      <x:c r="C37" s="52" t="str">
        <x:f>'Estoque por Lote'!E37</x:f>
      </x:c>
      <x:c r="D37" s="53" t="str">
        <x:f>'Estoque por Lote'!H37</x:f>
      </x:c>
      <x:c r="E37" s="53" t="str">
        <x:f>'Estoque por Lote'!I37</x:f>
      </x:c>
      <x:c r="F37" s="53" t="str">
        <x:f>IF(B37="","",IF(D37&lt;=0,"",1+COUNTIFS($A$5:$A$104,A37,$D$5:$D$104,"&gt;0",$C$5:$C$104,"&lt;"&amp;C37)))</x:f>
      </x:c>
      <x:c r="G37" t="str">
        <x:f>IF(B37="","",IF(D37&lt;=0,"ESGOTADO",IF(F37=1,"CONSUMIR PRIMEIRO","AGUARDAR")))</x:f>
      </x:c>
      <x:c r="H37" t="n">
        <x:f>'Estoque por Lote'!B37</x:f>
        <x:v>0</x:v>
      </x:c>
      <x:c r="I37" t="n">
        <x:f>'Estoque por Lote'!C37</x:f>
        <x:v>0</x:v>
      </x:c>
    </x:row>
    <x:row r="38">
      <x:c r="A38" t="n">
        <x:f>'Estoque por Lote'!A38</x:f>
        <x:v>0</x:v>
      </x:c>
      <x:c r="B38" t="n">
        <x:f>'Estoque por Lote'!D38</x:f>
        <x:v>0</x:v>
      </x:c>
      <x:c r="C38" s="52" t="str">
        <x:f>'Estoque por Lote'!E38</x:f>
      </x:c>
      <x:c r="D38" s="53" t="str">
        <x:f>'Estoque por Lote'!H38</x:f>
      </x:c>
      <x:c r="E38" s="53" t="str">
        <x:f>'Estoque por Lote'!I38</x:f>
      </x:c>
      <x:c r="F38" s="53" t="str">
        <x:f>IF(B38="","",IF(D38&lt;=0,"",1+COUNTIFS($A$5:$A$104,A38,$D$5:$D$104,"&gt;0",$C$5:$C$104,"&lt;"&amp;C38)))</x:f>
      </x:c>
      <x:c r="G38" t="str">
        <x:f>IF(B38="","",IF(D38&lt;=0,"ESGOTADO",IF(F38=1,"CONSUMIR PRIMEIRO","AGUARDAR")))</x:f>
      </x:c>
      <x:c r="H38" t="n">
        <x:f>'Estoque por Lote'!B38</x:f>
        <x:v>0</x:v>
      </x:c>
      <x:c r="I38" t="n">
        <x:f>'Estoque por Lote'!C38</x:f>
        <x:v>0</x:v>
      </x:c>
    </x:row>
    <x:row r="39">
      <x:c r="A39" t="n">
        <x:f>'Estoque por Lote'!A39</x:f>
        <x:v>0</x:v>
      </x:c>
      <x:c r="B39" t="n">
        <x:f>'Estoque por Lote'!D39</x:f>
        <x:v>0</x:v>
      </x:c>
      <x:c r="C39" s="52" t="str">
        <x:f>'Estoque por Lote'!E39</x:f>
      </x:c>
      <x:c r="D39" s="53" t="str">
        <x:f>'Estoque por Lote'!H39</x:f>
      </x:c>
      <x:c r="E39" s="53" t="str">
        <x:f>'Estoque por Lote'!I39</x:f>
      </x:c>
      <x:c r="F39" s="53" t="str">
        <x:f>IF(B39="","",IF(D39&lt;=0,"",1+COUNTIFS($A$5:$A$104,A39,$D$5:$D$104,"&gt;0",$C$5:$C$104,"&lt;"&amp;C39)))</x:f>
      </x:c>
      <x:c r="G39" t="str">
        <x:f>IF(B39="","",IF(D39&lt;=0,"ESGOTADO",IF(F39=1,"CONSUMIR PRIMEIRO","AGUARDAR")))</x:f>
      </x:c>
      <x:c r="H39" t="n">
        <x:f>'Estoque por Lote'!B39</x:f>
        <x:v>0</x:v>
      </x:c>
      <x:c r="I39" t="n">
        <x:f>'Estoque por Lote'!C39</x:f>
        <x:v>0</x:v>
      </x:c>
    </x:row>
    <x:row r="40">
      <x:c r="A40" t="n">
        <x:f>'Estoque por Lote'!A40</x:f>
        <x:v>0</x:v>
      </x:c>
      <x:c r="B40" t="n">
        <x:f>'Estoque por Lote'!D40</x:f>
        <x:v>0</x:v>
      </x:c>
      <x:c r="C40" s="52" t="str">
        <x:f>'Estoque por Lote'!E40</x:f>
      </x:c>
      <x:c r="D40" s="53" t="str">
        <x:f>'Estoque por Lote'!H40</x:f>
      </x:c>
      <x:c r="E40" s="53" t="str">
        <x:f>'Estoque por Lote'!I40</x:f>
      </x:c>
      <x:c r="F40" s="53" t="str">
        <x:f>IF(B40="","",IF(D40&lt;=0,"",1+COUNTIFS($A$5:$A$104,A40,$D$5:$D$104,"&gt;0",$C$5:$C$104,"&lt;"&amp;C40)))</x:f>
      </x:c>
      <x:c r="G40" t="str">
        <x:f>IF(B40="","",IF(D40&lt;=0,"ESGOTADO",IF(F40=1,"CONSUMIR PRIMEIRO","AGUARDAR")))</x:f>
      </x:c>
      <x:c r="H40" t="n">
        <x:f>'Estoque por Lote'!B40</x:f>
        <x:v>0</x:v>
      </x:c>
      <x:c r="I40" t="n">
        <x:f>'Estoque por Lote'!C40</x:f>
        <x:v>0</x:v>
      </x:c>
    </x:row>
    <x:row r="41">
      <x:c r="A41" t="n">
        <x:f>'Estoque por Lote'!A41</x:f>
        <x:v>0</x:v>
      </x:c>
      <x:c r="B41" t="n">
        <x:f>'Estoque por Lote'!D41</x:f>
        <x:v>0</x:v>
      </x:c>
      <x:c r="C41" s="52" t="str">
        <x:f>'Estoque por Lote'!E41</x:f>
      </x:c>
      <x:c r="D41" s="53" t="str">
        <x:f>'Estoque por Lote'!H41</x:f>
      </x:c>
      <x:c r="E41" s="53" t="str">
        <x:f>'Estoque por Lote'!I41</x:f>
      </x:c>
      <x:c r="F41" s="53" t="str">
        <x:f>IF(B41="","",IF(D41&lt;=0,"",1+COUNTIFS($A$5:$A$104,A41,$D$5:$D$104,"&gt;0",$C$5:$C$104,"&lt;"&amp;C41)))</x:f>
      </x:c>
      <x:c r="G41" t="str">
        <x:f>IF(B41="","",IF(D41&lt;=0,"ESGOTADO",IF(F41=1,"CONSUMIR PRIMEIRO","AGUARDAR")))</x:f>
      </x:c>
      <x:c r="H41" t="n">
        <x:f>'Estoque por Lote'!B41</x:f>
        <x:v>0</x:v>
      </x:c>
      <x:c r="I41" t="n">
        <x:f>'Estoque por Lote'!C41</x:f>
        <x:v>0</x:v>
      </x:c>
    </x:row>
    <x:row r="42">
      <x:c r="A42" t="n">
        <x:f>'Estoque por Lote'!A42</x:f>
        <x:v>0</x:v>
      </x:c>
      <x:c r="B42" t="n">
        <x:f>'Estoque por Lote'!D42</x:f>
        <x:v>0</x:v>
      </x:c>
      <x:c r="C42" s="52" t="str">
        <x:f>'Estoque por Lote'!E42</x:f>
      </x:c>
      <x:c r="D42" s="53" t="str">
        <x:f>'Estoque por Lote'!H42</x:f>
      </x:c>
      <x:c r="E42" s="53" t="str">
        <x:f>'Estoque por Lote'!I42</x:f>
      </x:c>
      <x:c r="F42" s="53" t="str">
        <x:f>IF(B42="","",IF(D42&lt;=0,"",1+COUNTIFS($A$5:$A$104,A42,$D$5:$D$104,"&gt;0",$C$5:$C$104,"&lt;"&amp;C42)))</x:f>
      </x:c>
      <x:c r="G42" t="str">
        <x:f>IF(B42="","",IF(D42&lt;=0,"ESGOTADO",IF(F42=1,"CONSUMIR PRIMEIRO","AGUARDAR")))</x:f>
      </x:c>
      <x:c r="H42" t="n">
        <x:f>'Estoque por Lote'!B42</x:f>
        <x:v>0</x:v>
      </x:c>
      <x:c r="I42" t="n">
        <x:f>'Estoque por Lote'!C42</x:f>
        <x:v>0</x:v>
      </x:c>
    </x:row>
    <x:row r="43">
      <x:c r="A43" t="n">
        <x:f>'Estoque por Lote'!A43</x:f>
        <x:v>0</x:v>
      </x:c>
      <x:c r="B43" t="n">
        <x:f>'Estoque por Lote'!D43</x:f>
        <x:v>0</x:v>
      </x:c>
      <x:c r="C43" s="52" t="str">
        <x:f>'Estoque por Lote'!E43</x:f>
      </x:c>
      <x:c r="D43" s="53" t="str">
        <x:f>'Estoque por Lote'!H43</x:f>
      </x:c>
      <x:c r="E43" s="53" t="str">
        <x:f>'Estoque por Lote'!I43</x:f>
      </x:c>
      <x:c r="F43" s="53" t="str">
        <x:f>IF(B43="","",IF(D43&lt;=0,"",1+COUNTIFS($A$5:$A$104,A43,$D$5:$D$104,"&gt;0",$C$5:$C$104,"&lt;"&amp;C43)))</x:f>
      </x:c>
      <x:c r="G43" t="str">
        <x:f>IF(B43="","",IF(D43&lt;=0,"ESGOTADO",IF(F43=1,"CONSUMIR PRIMEIRO","AGUARDAR")))</x:f>
      </x:c>
      <x:c r="H43" t="n">
        <x:f>'Estoque por Lote'!B43</x:f>
        <x:v>0</x:v>
      </x:c>
      <x:c r="I43" t="n">
        <x:f>'Estoque por Lote'!C43</x:f>
        <x:v>0</x:v>
      </x:c>
    </x:row>
    <x:row r="44">
      <x:c r="A44" t="n">
        <x:f>'Estoque por Lote'!A44</x:f>
        <x:v>0</x:v>
      </x:c>
      <x:c r="B44" t="n">
        <x:f>'Estoque por Lote'!D44</x:f>
        <x:v>0</x:v>
      </x:c>
      <x:c r="C44" s="52" t="str">
        <x:f>'Estoque por Lote'!E44</x:f>
      </x:c>
      <x:c r="D44" s="53" t="str">
        <x:f>'Estoque por Lote'!H44</x:f>
      </x:c>
      <x:c r="E44" s="53" t="str">
        <x:f>'Estoque por Lote'!I44</x:f>
      </x:c>
      <x:c r="F44" s="53" t="str">
        <x:f>IF(B44="","",IF(D44&lt;=0,"",1+COUNTIFS($A$5:$A$104,A44,$D$5:$D$104,"&gt;0",$C$5:$C$104,"&lt;"&amp;C44)))</x:f>
      </x:c>
      <x:c r="G44" t="str">
        <x:f>IF(B44="","",IF(D44&lt;=0,"ESGOTADO",IF(F44=1,"CONSUMIR PRIMEIRO","AGUARDAR")))</x:f>
      </x:c>
      <x:c r="H44" t="n">
        <x:f>'Estoque por Lote'!B44</x:f>
        <x:v>0</x:v>
      </x:c>
      <x:c r="I44" t="n">
        <x:f>'Estoque por Lote'!C44</x:f>
        <x:v>0</x:v>
      </x:c>
    </x:row>
    <x:row r="45">
      <x:c r="A45" t="n">
        <x:f>'Estoque por Lote'!A45</x:f>
        <x:v>0</x:v>
      </x:c>
      <x:c r="B45" t="n">
        <x:f>'Estoque por Lote'!D45</x:f>
        <x:v>0</x:v>
      </x:c>
      <x:c r="C45" s="52" t="str">
        <x:f>'Estoque por Lote'!E45</x:f>
      </x:c>
      <x:c r="D45" s="53" t="str">
        <x:f>'Estoque por Lote'!H45</x:f>
      </x:c>
      <x:c r="E45" s="53" t="str">
        <x:f>'Estoque por Lote'!I45</x:f>
      </x:c>
      <x:c r="F45" s="53" t="str">
        <x:f>IF(B45="","",IF(D45&lt;=0,"",1+COUNTIFS($A$5:$A$104,A45,$D$5:$D$104,"&gt;0",$C$5:$C$104,"&lt;"&amp;C45)))</x:f>
      </x:c>
      <x:c r="G45" t="str">
        <x:f>IF(B45="","",IF(D45&lt;=0,"ESGOTADO",IF(F45=1,"CONSUMIR PRIMEIRO","AGUARDAR")))</x:f>
      </x:c>
      <x:c r="H45" t="n">
        <x:f>'Estoque por Lote'!B45</x:f>
        <x:v>0</x:v>
      </x:c>
      <x:c r="I45" t="n">
        <x:f>'Estoque por Lote'!C45</x:f>
        <x:v>0</x:v>
      </x:c>
    </x:row>
    <x:row r="46">
      <x:c r="A46" t="n">
        <x:f>'Estoque por Lote'!A46</x:f>
        <x:v>0</x:v>
      </x:c>
      <x:c r="B46" t="n">
        <x:f>'Estoque por Lote'!D46</x:f>
        <x:v>0</x:v>
      </x:c>
      <x:c r="C46" s="52" t="str">
        <x:f>'Estoque por Lote'!E46</x:f>
      </x:c>
      <x:c r="D46" s="53" t="str">
        <x:f>'Estoque por Lote'!H46</x:f>
      </x:c>
      <x:c r="E46" s="53" t="str">
        <x:f>'Estoque por Lote'!I46</x:f>
      </x:c>
      <x:c r="F46" s="53" t="str">
        <x:f>IF(B46="","",IF(D46&lt;=0,"",1+COUNTIFS($A$5:$A$104,A46,$D$5:$D$104,"&gt;0",$C$5:$C$104,"&lt;"&amp;C46)))</x:f>
      </x:c>
      <x:c r="G46" t="str">
        <x:f>IF(B46="","",IF(D46&lt;=0,"ESGOTADO",IF(F46=1,"CONSUMIR PRIMEIRO","AGUARDAR")))</x:f>
      </x:c>
      <x:c r="H46" t="n">
        <x:f>'Estoque por Lote'!B46</x:f>
        <x:v>0</x:v>
      </x:c>
      <x:c r="I46" t="n">
        <x:f>'Estoque por Lote'!C46</x:f>
        <x:v>0</x:v>
      </x:c>
    </x:row>
    <x:row r="47">
      <x:c r="A47" t="n">
        <x:f>'Estoque por Lote'!A47</x:f>
        <x:v>0</x:v>
      </x:c>
      <x:c r="B47" t="n">
        <x:f>'Estoque por Lote'!D47</x:f>
        <x:v>0</x:v>
      </x:c>
      <x:c r="C47" s="52" t="str">
        <x:f>'Estoque por Lote'!E47</x:f>
      </x:c>
      <x:c r="D47" s="53" t="str">
        <x:f>'Estoque por Lote'!H47</x:f>
      </x:c>
      <x:c r="E47" s="53" t="str">
        <x:f>'Estoque por Lote'!I47</x:f>
      </x:c>
      <x:c r="F47" s="53" t="str">
        <x:f>IF(B47="","",IF(D47&lt;=0,"",1+COUNTIFS($A$5:$A$104,A47,$D$5:$D$104,"&gt;0",$C$5:$C$104,"&lt;"&amp;C47)))</x:f>
      </x:c>
      <x:c r="G47" t="str">
        <x:f>IF(B47="","",IF(D47&lt;=0,"ESGOTADO",IF(F47=1,"CONSUMIR PRIMEIRO","AGUARDAR")))</x:f>
      </x:c>
      <x:c r="H47" t="n">
        <x:f>'Estoque por Lote'!B47</x:f>
        <x:v>0</x:v>
      </x:c>
      <x:c r="I47" t="n">
        <x:f>'Estoque por Lote'!C47</x:f>
        <x:v>0</x:v>
      </x:c>
    </x:row>
    <x:row r="48">
      <x:c r="A48" t="n">
        <x:f>'Estoque por Lote'!A48</x:f>
        <x:v>0</x:v>
      </x:c>
      <x:c r="B48" t="n">
        <x:f>'Estoque por Lote'!D48</x:f>
        <x:v>0</x:v>
      </x:c>
      <x:c r="C48" s="52" t="str">
        <x:f>'Estoque por Lote'!E48</x:f>
      </x:c>
      <x:c r="D48" s="53" t="str">
        <x:f>'Estoque por Lote'!H48</x:f>
      </x:c>
      <x:c r="E48" s="53" t="str">
        <x:f>'Estoque por Lote'!I48</x:f>
      </x:c>
      <x:c r="F48" s="53" t="str">
        <x:f>IF(B48="","",IF(D48&lt;=0,"",1+COUNTIFS($A$5:$A$104,A48,$D$5:$D$104,"&gt;0",$C$5:$C$104,"&lt;"&amp;C48)))</x:f>
      </x:c>
      <x:c r="G48" t="str">
        <x:f>IF(B48="","",IF(D48&lt;=0,"ESGOTADO",IF(F48=1,"CONSUMIR PRIMEIRO","AGUARDAR")))</x:f>
      </x:c>
      <x:c r="H48" t="n">
        <x:f>'Estoque por Lote'!B48</x:f>
        <x:v>0</x:v>
      </x:c>
      <x:c r="I48" t="n">
        <x:f>'Estoque por Lote'!C48</x:f>
        <x:v>0</x:v>
      </x:c>
    </x:row>
    <x:row r="49">
      <x:c r="A49" t="n">
        <x:f>'Estoque por Lote'!A49</x:f>
        <x:v>0</x:v>
      </x:c>
      <x:c r="B49" t="n">
        <x:f>'Estoque por Lote'!D49</x:f>
        <x:v>0</x:v>
      </x:c>
      <x:c r="C49" s="52" t="str">
        <x:f>'Estoque por Lote'!E49</x:f>
      </x:c>
      <x:c r="D49" s="53" t="str">
        <x:f>'Estoque por Lote'!H49</x:f>
      </x:c>
      <x:c r="E49" s="53" t="str">
        <x:f>'Estoque por Lote'!I49</x:f>
      </x:c>
      <x:c r="F49" s="53" t="str">
        <x:f>IF(B49="","",IF(D49&lt;=0,"",1+COUNTIFS($A$5:$A$104,A49,$D$5:$D$104,"&gt;0",$C$5:$C$104,"&lt;"&amp;C49)))</x:f>
      </x:c>
      <x:c r="G49" t="str">
        <x:f>IF(B49="","",IF(D49&lt;=0,"ESGOTADO",IF(F49=1,"CONSUMIR PRIMEIRO","AGUARDAR")))</x:f>
      </x:c>
      <x:c r="H49" t="n">
        <x:f>'Estoque por Lote'!B49</x:f>
        <x:v>0</x:v>
      </x:c>
      <x:c r="I49" t="n">
        <x:f>'Estoque por Lote'!C49</x:f>
        <x:v>0</x:v>
      </x:c>
    </x:row>
    <x:row r="50">
      <x:c r="A50" t="n">
        <x:f>'Estoque por Lote'!A50</x:f>
        <x:v>0</x:v>
      </x:c>
      <x:c r="B50" t="n">
        <x:f>'Estoque por Lote'!D50</x:f>
        <x:v>0</x:v>
      </x:c>
      <x:c r="C50" s="52" t="str">
        <x:f>'Estoque por Lote'!E50</x:f>
      </x:c>
      <x:c r="D50" s="53" t="str">
        <x:f>'Estoque por Lote'!H50</x:f>
      </x:c>
      <x:c r="E50" s="53" t="str">
        <x:f>'Estoque por Lote'!I50</x:f>
      </x:c>
      <x:c r="F50" s="53" t="str">
        <x:f>IF(B50="","",IF(D50&lt;=0,"",1+COUNTIFS($A$5:$A$104,A50,$D$5:$D$104,"&gt;0",$C$5:$C$104,"&lt;"&amp;C50)))</x:f>
      </x:c>
      <x:c r="G50" t="str">
        <x:f>IF(B50="","",IF(D50&lt;=0,"ESGOTADO",IF(F50=1,"CONSUMIR PRIMEIRO","AGUARDAR")))</x:f>
      </x:c>
      <x:c r="H50" t="n">
        <x:f>'Estoque por Lote'!B50</x:f>
        <x:v>0</x:v>
      </x:c>
      <x:c r="I50" t="n">
        <x:f>'Estoque por Lote'!C50</x:f>
        <x:v>0</x:v>
      </x:c>
    </x:row>
    <x:row r="51">
      <x:c r="A51" t="n">
        <x:f>'Estoque por Lote'!A51</x:f>
        <x:v>0</x:v>
      </x:c>
      <x:c r="B51" t="n">
        <x:f>'Estoque por Lote'!D51</x:f>
        <x:v>0</x:v>
      </x:c>
      <x:c r="C51" s="52" t="str">
        <x:f>'Estoque por Lote'!E51</x:f>
      </x:c>
      <x:c r="D51" s="53" t="str">
        <x:f>'Estoque por Lote'!H51</x:f>
      </x:c>
      <x:c r="E51" s="53" t="str">
        <x:f>'Estoque por Lote'!I51</x:f>
      </x:c>
      <x:c r="F51" s="53" t="str">
        <x:f>IF(B51="","",IF(D51&lt;=0,"",1+COUNTIFS($A$5:$A$104,A51,$D$5:$D$104,"&gt;0",$C$5:$C$104,"&lt;"&amp;C51)))</x:f>
      </x:c>
      <x:c r="G51" t="str">
        <x:f>IF(B51="","",IF(D51&lt;=0,"ESGOTADO",IF(F51=1,"CONSUMIR PRIMEIRO","AGUARDAR")))</x:f>
      </x:c>
      <x:c r="H51" t="n">
        <x:f>'Estoque por Lote'!B51</x:f>
        <x:v>0</x:v>
      </x:c>
      <x:c r="I51" t="n">
        <x:f>'Estoque por Lote'!C51</x:f>
        <x:v>0</x:v>
      </x:c>
    </x:row>
    <x:row r="52">
      <x:c r="A52" t="n">
        <x:f>'Estoque por Lote'!A52</x:f>
        <x:v>0</x:v>
      </x:c>
      <x:c r="B52" t="n">
        <x:f>'Estoque por Lote'!D52</x:f>
        <x:v>0</x:v>
      </x:c>
      <x:c r="C52" s="52" t="str">
        <x:f>'Estoque por Lote'!E52</x:f>
      </x:c>
      <x:c r="D52" s="53" t="str">
        <x:f>'Estoque por Lote'!H52</x:f>
      </x:c>
      <x:c r="E52" s="53" t="str">
        <x:f>'Estoque por Lote'!I52</x:f>
      </x:c>
      <x:c r="F52" s="53" t="str">
        <x:f>IF(B52="","",IF(D52&lt;=0,"",1+COUNTIFS($A$5:$A$104,A52,$D$5:$D$104,"&gt;0",$C$5:$C$104,"&lt;"&amp;C52)))</x:f>
      </x:c>
      <x:c r="G52" t="str">
        <x:f>IF(B52="","",IF(D52&lt;=0,"ESGOTADO",IF(F52=1,"CONSUMIR PRIMEIRO","AGUARDAR")))</x:f>
      </x:c>
      <x:c r="H52" t="n">
        <x:f>'Estoque por Lote'!B52</x:f>
        <x:v>0</x:v>
      </x:c>
      <x:c r="I52" t="n">
        <x:f>'Estoque por Lote'!C52</x:f>
        <x:v>0</x:v>
      </x:c>
    </x:row>
    <x:row r="53">
      <x:c r="A53" t="n">
        <x:f>'Estoque por Lote'!A53</x:f>
        <x:v>0</x:v>
      </x:c>
      <x:c r="B53" t="n">
        <x:f>'Estoque por Lote'!D53</x:f>
        <x:v>0</x:v>
      </x:c>
      <x:c r="C53" s="52" t="str">
        <x:f>'Estoque por Lote'!E53</x:f>
      </x:c>
      <x:c r="D53" s="53" t="str">
        <x:f>'Estoque por Lote'!H53</x:f>
      </x:c>
      <x:c r="E53" s="53" t="str">
        <x:f>'Estoque por Lote'!I53</x:f>
      </x:c>
      <x:c r="F53" s="53" t="str">
        <x:f>IF(B53="","",IF(D53&lt;=0,"",1+COUNTIFS($A$5:$A$104,A53,$D$5:$D$104,"&gt;0",$C$5:$C$104,"&lt;"&amp;C53)))</x:f>
      </x:c>
      <x:c r="G53" t="str">
        <x:f>IF(B53="","",IF(D53&lt;=0,"ESGOTADO",IF(F53=1,"CONSUMIR PRIMEIRO","AGUARDAR")))</x:f>
      </x:c>
      <x:c r="H53" t="n">
        <x:f>'Estoque por Lote'!B53</x:f>
        <x:v>0</x:v>
      </x:c>
      <x:c r="I53" t="n">
        <x:f>'Estoque por Lote'!C53</x:f>
        <x:v>0</x:v>
      </x:c>
    </x:row>
    <x:row r="54">
      <x:c r="A54" t="n">
        <x:f>'Estoque por Lote'!A54</x:f>
        <x:v>0</x:v>
      </x:c>
      <x:c r="B54" t="n">
        <x:f>'Estoque por Lote'!D54</x:f>
        <x:v>0</x:v>
      </x:c>
      <x:c r="C54" s="52" t="str">
        <x:f>'Estoque por Lote'!E54</x:f>
      </x:c>
      <x:c r="D54" s="53" t="str">
        <x:f>'Estoque por Lote'!H54</x:f>
      </x:c>
      <x:c r="E54" s="53" t="str">
        <x:f>'Estoque por Lote'!I54</x:f>
      </x:c>
      <x:c r="F54" s="53" t="str">
        <x:f>IF(B54="","",IF(D54&lt;=0,"",1+COUNTIFS($A$5:$A$104,A54,$D$5:$D$104,"&gt;0",$C$5:$C$104,"&lt;"&amp;C54)))</x:f>
      </x:c>
      <x:c r="G54" t="str">
        <x:f>IF(B54="","",IF(D54&lt;=0,"ESGOTADO",IF(F54=1,"CONSUMIR PRIMEIRO","AGUARDAR")))</x:f>
      </x:c>
      <x:c r="H54" t="n">
        <x:f>'Estoque por Lote'!B54</x:f>
        <x:v>0</x:v>
      </x:c>
      <x:c r="I54" t="n">
        <x:f>'Estoque por Lote'!C54</x:f>
        <x:v>0</x:v>
      </x:c>
    </x:row>
    <x:row r="55">
      <x:c r="A55" t="n">
        <x:f>'Estoque por Lote'!A55</x:f>
        <x:v>0</x:v>
      </x:c>
      <x:c r="B55" t="n">
        <x:f>'Estoque por Lote'!D55</x:f>
        <x:v>0</x:v>
      </x:c>
      <x:c r="C55" s="52" t="str">
        <x:f>'Estoque por Lote'!E55</x:f>
      </x:c>
      <x:c r="D55" s="53" t="str">
        <x:f>'Estoque por Lote'!H55</x:f>
      </x:c>
      <x:c r="E55" s="53" t="str">
        <x:f>'Estoque por Lote'!I55</x:f>
      </x:c>
      <x:c r="F55" s="53" t="str">
        <x:f>IF(B55="","",IF(D55&lt;=0,"",1+COUNTIFS($A$5:$A$104,A55,$D$5:$D$104,"&gt;0",$C$5:$C$104,"&lt;"&amp;C55)))</x:f>
      </x:c>
      <x:c r="G55" t="str">
        <x:f>IF(B55="","",IF(D55&lt;=0,"ESGOTADO",IF(F55=1,"CONSUMIR PRIMEIRO","AGUARDAR")))</x:f>
      </x:c>
      <x:c r="H55" t="n">
        <x:f>'Estoque por Lote'!B55</x:f>
        <x:v>0</x:v>
      </x:c>
      <x:c r="I55" t="n">
        <x:f>'Estoque por Lote'!C55</x:f>
        <x:v>0</x:v>
      </x:c>
    </x:row>
    <x:row r="56">
      <x:c r="A56" t="n">
        <x:f>'Estoque por Lote'!A56</x:f>
        <x:v>0</x:v>
      </x:c>
      <x:c r="B56" t="n">
        <x:f>'Estoque por Lote'!D56</x:f>
        <x:v>0</x:v>
      </x:c>
      <x:c r="C56" s="52" t="str">
        <x:f>'Estoque por Lote'!E56</x:f>
      </x:c>
      <x:c r="D56" s="53" t="str">
        <x:f>'Estoque por Lote'!H56</x:f>
      </x:c>
      <x:c r="E56" s="53" t="str">
        <x:f>'Estoque por Lote'!I56</x:f>
      </x:c>
      <x:c r="F56" s="53" t="str">
        <x:f>IF(B56="","",IF(D56&lt;=0,"",1+COUNTIFS($A$5:$A$104,A56,$D$5:$D$104,"&gt;0",$C$5:$C$104,"&lt;"&amp;C56)))</x:f>
      </x:c>
      <x:c r="G56" t="str">
        <x:f>IF(B56="","",IF(D56&lt;=0,"ESGOTADO",IF(F56=1,"CONSUMIR PRIMEIRO","AGUARDAR")))</x:f>
      </x:c>
      <x:c r="H56" t="n">
        <x:f>'Estoque por Lote'!B56</x:f>
        <x:v>0</x:v>
      </x:c>
      <x:c r="I56" t="n">
        <x:f>'Estoque por Lote'!C56</x:f>
        <x:v>0</x:v>
      </x:c>
    </x:row>
    <x:row r="57">
      <x:c r="A57" t="n">
        <x:f>'Estoque por Lote'!A57</x:f>
        <x:v>0</x:v>
      </x:c>
      <x:c r="B57" t="n">
        <x:f>'Estoque por Lote'!D57</x:f>
        <x:v>0</x:v>
      </x:c>
      <x:c r="C57" s="52" t="str">
        <x:f>'Estoque por Lote'!E57</x:f>
      </x:c>
      <x:c r="D57" s="53" t="str">
        <x:f>'Estoque por Lote'!H57</x:f>
      </x:c>
      <x:c r="E57" s="53" t="str">
        <x:f>'Estoque por Lote'!I57</x:f>
      </x:c>
      <x:c r="F57" s="53" t="str">
        <x:f>IF(B57="","",IF(D57&lt;=0,"",1+COUNTIFS($A$5:$A$104,A57,$D$5:$D$104,"&gt;0",$C$5:$C$104,"&lt;"&amp;C57)))</x:f>
      </x:c>
      <x:c r="G57" t="str">
        <x:f>IF(B57="","",IF(D57&lt;=0,"ESGOTADO",IF(F57=1,"CONSUMIR PRIMEIRO","AGUARDAR")))</x:f>
      </x:c>
      <x:c r="H57" t="n">
        <x:f>'Estoque por Lote'!B57</x:f>
        <x:v>0</x:v>
      </x:c>
      <x:c r="I57" t="n">
        <x:f>'Estoque por Lote'!C57</x:f>
        <x:v>0</x:v>
      </x:c>
    </x:row>
    <x:row r="58">
      <x:c r="A58" t="n">
        <x:f>'Estoque por Lote'!A58</x:f>
        <x:v>0</x:v>
      </x:c>
      <x:c r="B58" t="n">
        <x:f>'Estoque por Lote'!D58</x:f>
        <x:v>0</x:v>
      </x:c>
      <x:c r="C58" s="52" t="str">
        <x:f>'Estoque por Lote'!E58</x:f>
      </x:c>
      <x:c r="D58" s="53" t="str">
        <x:f>'Estoque por Lote'!H58</x:f>
      </x:c>
      <x:c r="E58" s="53" t="str">
        <x:f>'Estoque por Lote'!I58</x:f>
      </x:c>
      <x:c r="F58" s="53" t="str">
        <x:f>IF(B58="","",IF(D58&lt;=0,"",1+COUNTIFS($A$5:$A$104,A58,$D$5:$D$104,"&gt;0",$C$5:$C$104,"&lt;"&amp;C58)))</x:f>
      </x:c>
      <x:c r="G58" t="str">
        <x:f>IF(B58="","",IF(D58&lt;=0,"ESGOTADO",IF(F58=1,"CONSUMIR PRIMEIRO","AGUARDAR")))</x:f>
      </x:c>
      <x:c r="H58" t="n">
        <x:f>'Estoque por Lote'!B58</x:f>
        <x:v>0</x:v>
      </x:c>
      <x:c r="I58" t="n">
        <x:f>'Estoque por Lote'!C58</x:f>
        <x:v>0</x:v>
      </x:c>
    </x:row>
    <x:row r="59">
      <x:c r="A59" t="n">
        <x:f>'Estoque por Lote'!A59</x:f>
        <x:v>0</x:v>
      </x:c>
      <x:c r="B59" t="n">
        <x:f>'Estoque por Lote'!D59</x:f>
        <x:v>0</x:v>
      </x:c>
      <x:c r="C59" s="52" t="str">
        <x:f>'Estoque por Lote'!E59</x:f>
      </x:c>
      <x:c r="D59" s="53" t="str">
        <x:f>'Estoque por Lote'!H59</x:f>
      </x:c>
      <x:c r="E59" s="53" t="str">
        <x:f>'Estoque por Lote'!I59</x:f>
      </x:c>
      <x:c r="F59" s="53" t="str">
        <x:f>IF(B59="","",IF(D59&lt;=0,"",1+COUNTIFS($A$5:$A$104,A59,$D$5:$D$104,"&gt;0",$C$5:$C$104,"&lt;"&amp;C59)))</x:f>
      </x:c>
      <x:c r="G59" t="str">
        <x:f>IF(B59="","",IF(D59&lt;=0,"ESGOTADO",IF(F59=1,"CONSUMIR PRIMEIRO","AGUARDAR")))</x:f>
      </x:c>
      <x:c r="H59" t="n">
        <x:f>'Estoque por Lote'!B59</x:f>
        <x:v>0</x:v>
      </x:c>
      <x:c r="I59" t="n">
        <x:f>'Estoque por Lote'!C59</x:f>
        <x:v>0</x:v>
      </x:c>
    </x:row>
    <x:row r="60">
      <x:c r="A60" t="n">
        <x:f>'Estoque por Lote'!A60</x:f>
        <x:v>0</x:v>
      </x:c>
      <x:c r="B60" t="n">
        <x:f>'Estoque por Lote'!D60</x:f>
        <x:v>0</x:v>
      </x:c>
      <x:c r="C60" s="52" t="str">
        <x:f>'Estoque por Lote'!E60</x:f>
      </x:c>
      <x:c r="D60" s="53" t="str">
        <x:f>'Estoque por Lote'!H60</x:f>
      </x:c>
      <x:c r="E60" s="53" t="str">
        <x:f>'Estoque por Lote'!I60</x:f>
      </x:c>
      <x:c r="F60" s="53" t="str">
        <x:f>IF(B60="","",IF(D60&lt;=0,"",1+COUNTIFS($A$5:$A$104,A60,$D$5:$D$104,"&gt;0",$C$5:$C$104,"&lt;"&amp;C60)))</x:f>
      </x:c>
      <x:c r="G60" t="str">
        <x:f>IF(B60="","",IF(D60&lt;=0,"ESGOTADO",IF(F60=1,"CONSUMIR PRIMEIRO","AGUARDAR")))</x:f>
      </x:c>
      <x:c r="H60" t="n">
        <x:f>'Estoque por Lote'!B60</x:f>
        <x:v>0</x:v>
      </x:c>
      <x:c r="I60" t="n">
        <x:f>'Estoque por Lote'!C60</x:f>
        <x:v>0</x:v>
      </x:c>
    </x:row>
    <x:row r="61">
      <x:c r="A61" t="n">
        <x:f>'Estoque por Lote'!A61</x:f>
        <x:v>0</x:v>
      </x:c>
      <x:c r="B61" t="n">
        <x:f>'Estoque por Lote'!D61</x:f>
        <x:v>0</x:v>
      </x:c>
      <x:c r="C61" s="52" t="str">
        <x:f>'Estoque por Lote'!E61</x:f>
      </x:c>
      <x:c r="D61" s="53" t="str">
        <x:f>'Estoque por Lote'!H61</x:f>
      </x:c>
      <x:c r="E61" s="53" t="str">
        <x:f>'Estoque por Lote'!I61</x:f>
      </x:c>
      <x:c r="F61" s="53" t="str">
        <x:f>IF(B61="","",IF(D61&lt;=0,"",1+COUNTIFS($A$5:$A$104,A61,$D$5:$D$104,"&gt;0",$C$5:$C$104,"&lt;"&amp;C61)))</x:f>
      </x:c>
      <x:c r="G61" t="str">
        <x:f>IF(B61="","",IF(D61&lt;=0,"ESGOTADO",IF(F61=1,"CONSUMIR PRIMEIRO","AGUARDAR")))</x:f>
      </x:c>
      <x:c r="H61" t="n">
        <x:f>'Estoque por Lote'!B61</x:f>
        <x:v>0</x:v>
      </x:c>
      <x:c r="I61" t="n">
        <x:f>'Estoque por Lote'!C61</x:f>
        <x:v>0</x:v>
      </x:c>
    </x:row>
    <x:row r="62">
      <x:c r="A62" t="n">
        <x:f>'Estoque por Lote'!A62</x:f>
        <x:v>0</x:v>
      </x:c>
      <x:c r="B62" t="n">
        <x:f>'Estoque por Lote'!D62</x:f>
        <x:v>0</x:v>
      </x:c>
      <x:c r="C62" s="52" t="str">
        <x:f>'Estoque por Lote'!E62</x:f>
      </x:c>
      <x:c r="D62" s="53" t="str">
        <x:f>'Estoque por Lote'!H62</x:f>
      </x:c>
      <x:c r="E62" s="53" t="str">
        <x:f>'Estoque por Lote'!I62</x:f>
      </x:c>
      <x:c r="F62" s="53" t="str">
        <x:f>IF(B62="","",IF(D62&lt;=0,"",1+COUNTIFS($A$5:$A$104,A62,$D$5:$D$104,"&gt;0",$C$5:$C$104,"&lt;"&amp;C62)))</x:f>
      </x:c>
      <x:c r="G62" t="str">
        <x:f>IF(B62="","",IF(D62&lt;=0,"ESGOTADO",IF(F62=1,"CONSUMIR PRIMEIRO","AGUARDAR")))</x:f>
      </x:c>
      <x:c r="H62" t="n">
        <x:f>'Estoque por Lote'!B62</x:f>
        <x:v>0</x:v>
      </x:c>
      <x:c r="I62" t="n">
        <x:f>'Estoque por Lote'!C62</x:f>
        <x:v>0</x:v>
      </x:c>
    </x:row>
    <x:row r="63">
      <x:c r="A63" t="n">
        <x:f>'Estoque por Lote'!A63</x:f>
        <x:v>0</x:v>
      </x:c>
      <x:c r="B63" t="n">
        <x:f>'Estoque por Lote'!D63</x:f>
        <x:v>0</x:v>
      </x:c>
      <x:c r="C63" s="52" t="str">
        <x:f>'Estoque por Lote'!E63</x:f>
      </x:c>
      <x:c r="D63" s="53" t="str">
        <x:f>'Estoque por Lote'!H63</x:f>
      </x:c>
      <x:c r="E63" s="53" t="str">
        <x:f>'Estoque por Lote'!I63</x:f>
      </x:c>
      <x:c r="F63" s="53" t="str">
        <x:f>IF(B63="","",IF(D63&lt;=0,"",1+COUNTIFS($A$5:$A$104,A63,$D$5:$D$104,"&gt;0",$C$5:$C$104,"&lt;"&amp;C63)))</x:f>
      </x:c>
      <x:c r="G63" t="str">
        <x:f>IF(B63="","",IF(D63&lt;=0,"ESGOTADO",IF(F63=1,"CONSUMIR PRIMEIRO","AGUARDAR")))</x:f>
      </x:c>
      <x:c r="H63" t="n">
        <x:f>'Estoque por Lote'!B63</x:f>
        <x:v>0</x:v>
      </x:c>
      <x:c r="I63" t="n">
        <x:f>'Estoque por Lote'!C63</x:f>
        <x:v>0</x:v>
      </x:c>
    </x:row>
    <x:row r="64">
      <x:c r="A64" t="n">
        <x:f>'Estoque por Lote'!A64</x:f>
        <x:v>0</x:v>
      </x:c>
      <x:c r="B64" t="n">
        <x:f>'Estoque por Lote'!D64</x:f>
        <x:v>0</x:v>
      </x:c>
      <x:c r="C64" s="52" t="str">
        <x:f>'Estoque por Lote'!E64</x:f>
      </x:c>
      <x:c r="D64" s="53" t="str">
        <x:f>'Estoque por Lote'!H64</x:f>
      </x:c>
      <x:c r="E64" s="53" t="str">
        <x:f>'Estoque por Lote'!I64</x:f>
      </x:c>
      <x:c r="F64" s="53" t="str">
        <x:f>IF(B64="","",IF(D64&lt;=0,"",1+COUNTIFS($A$5:$A$104,A64,$D$5:$D$104,"&gt;0",$C$5:$C$104,"&lt;"&amp;C64)))</x:f>
      </x:c>
      <x:c r="G64" t="str">
        <x:f>IF(B64="","",IF(D64&lt;=0,"ESGOTADO",IF(F64=1,"CONSUMIR PRIMEIRO","AGUARDAR")))</x:f>
      </x:c>
      <x:c r="H64" t="n">
        <x:f>'Estoque por Lote'!B64</x:f>
        <x:v>0</x:v>
      </x:c>
      <x:c r="I64" t="n">
        <x:f>'Estoque por Lote'!C64</x:f>
        <x:v>0</x:v>
      </x:c>
    </x:row>
    <x:row r="65">
      <x:c r="A65" t="n">
        <x:f>'Estoque por Lote'!A65</x:f>
        <x:v>0</x:v>
      </x:c>
      <x:c r="B65" t="n">
        <x:f>'Estoque por Lote'!D65</x:f>
        <x:v>0</x:v>
      </x:c>
      <x:c r="C65" s="52" t="str">
        <x:f>'Estoque por Lote'!E65</x:f>
      </x:c>
      <x:c r="D65" s="53" t="str">
        <x:f>'Estoque por Lote'!H65</x:f>
      </x:c>
      <x:c r="E65" s="53" t="str">
        <x:f>'Estoque por Lote'!I65</x:f>
      </x:c>
      <x:c r="F65" s="53" t="str">
        <x:f>IF(B65="","",IF(D65&lt;=0,"",1+COUNTIFS($A$5:$A$104,A65,$D$5:$D$104,"&gt;0",$C$5:$C$104,"&lt;"&amp;C65)))</x:f>
      </x:c>
      <x:c r="G65" t="str">
        <x:f>IF(B65="","",IF(D65&lt;=0,"ESGOTADO",IF(F65=1,"CONSUMIR PRIMEIRO","AGUARDAR")))</x:f>
      </x:c>
      <x:c r="H65" t="n">
        <x:f>'Estoque por Lote'!B65</x:f>
        <x:v>0</x:v>
      </x:c>
      <x:c r="I65" t="n">
        <x:f>'Estoque por Lote'!C65</x:f>
        <x:v>0</x:v>
      </x:c>
    </x:row>
    <x:row r="66">
      <x:c r="A66" t="n">
        <x:f>'Estoque por Lote'!A66</x:f>
        <x:v>0</x:v>
      </x:c>
      <x:c r="B66" t="n">
        <x:f>'Estoque por Lote'!D66</x:f>
        <x:v>0</x:v>
      </x:c>
      <x:c r="C66" s="52" t="str">
        <x:f>'Estoque por Lote'!E66</x:f>
      </x:c>
      <x:c r="D66" s="53" t="str">
        <x:f>'Estoque por Lote'!H66</x:f>
      </x:c>
      <x:c r="E66" s="53" t="str">
        <x:f>'Estoque por Lote'!I66</x:f>
      </x:c>
      <x:c r="F66" s="53" t="str">
        <x:f>IF(B66="","",IF(D66&lt;=0,"",1+COUNTIFS($A$5:$A$104,A66,$D$5:$D$104,"&gt;0",$C$5:$C$104,"&lt;"&amp;C66)))</x:f>
      </x:c>
      <x:c r="G66" t="str">
        <x:f>IF(B66="","",IF(D66&lt;=0,"ESGOTADO",IF(F66=1,"CONSUMIR PRIMEIRO","AGUARDAR")))</x:f>
      </x:c>
      <x:c r="H66" t="n">
        <x:f>'Estoque por Lote'!B66</x:f>
        <x:v>0</x:v>
      </x:c>
      <x:c r="I66" t="n">
        <x:f>'Estoque por Lote'!C66</x:f>
        <x:v>0</x:v>
      </x:c>
    </x:row>
    <x:row r="67">
      <x:c r="A67" t="n">
        <x:f>'Estoque por Lote'!A67</x:f>
        <x:v>0</x:v>
      </x:c>
      <x:c r="B67" t="n">
        <x:f>'Estoque por Lote'!D67</x:f>
        <x:v>0</x:v>
      </x:c>
      <x:c r="C67" s="52" t="str">
        <x:f>'Estoque por Lote'!E67</x:f>
      </x:c>
      <x:c r="D67" s="53" t="str">
        <x:f>'Estoque por Lote'!H67</x:f>
      </x:c>
      <x:c r="E67" s="53" t="str">
        <x:f>'Estoque por Lote'!I67</x:f>
      </x:c>
      <x:c r="F67" s="53" t="str">
        <x:f>IF(B67="","",IF(D67&lt;=0,"",1+COUNTIFS($A$5:$A$104,A67,$D$5:$D$104,"&gt;0",$C$5:$C$104,"&lt;"&amp;C67)))</x:f>
      </x:c>
      <x:c r="G67" t="str">
        <x:f>IF(B67="","",IF(D67&lt;=0,"ESGOTADO",IF(F67=1,"CONSUMIR PRIMEIRO","AGUARDAR")))</x:f>
      </x:c>
      <x:c r="H67" t="n">
        <x:f>'Estoque por Lote'!B67</x:f>
        <x:v>0</x:v>
      </x:c>
      <x:c r="I67" t="n">
        <x:f>'Estoque por Lote'!C67</x:f>
        <x:v>0</x:v>
      </x:c>
    </x:row>
    <x:row r="68">
      <x:c r="A68" t="n">
        <x:f>'Estoque por Lote'!A68</x:f>
        <x:v>0</x:v>
      </x:c>
      <x:c r="B68" t="n">
        <x:f>'Estoque por Lote'!D68</x:f>
        <x:v>0</x:v>
      </x:c>
      <x:c r="C68" s="52" t="str">
        <x:f>'Estoque por Lote'!E68</x:f>
      </x:c>
      <x:c r="D68" s="53" t="str">
        <x:f>'Estoque por Lote'!H68</x:f>
      </x:c>
      <x:c r="E68" s="53" t="str">
        <x:f>'Estoque por Lote'!I68</x:f>
      </x:c>
      <x:c r="F68" s="53" t="str">
        <x:f>IF(B68="","",IF(D68&lt;=0,"",1+COUNTIFS($A$5:$A$104,A68,$D$5:$D$104,"&gt;0",$C$5:$C$104,"&lt;"&amp;C68)))</x:f>
      </x:c>
      <x:c r="G68" t="str">
        <x:f>IF(B68="","",IF(D68&lt;=0,"ESGOTADO",IF(F68=1,"CONSUMIR PRIMEIRO","AGUARDAR")))</x:f>
      </x:c>
      <x:c r="H68" t="n">
        <x:f>'Estoque por Lote'!B68</x:f>
        <x:v>0</x:v>
      </x:c>
      <x:c r="I68" t="n">
        <x:f>'Estoque por Lote'!C68</x:f>
        <x:v>0</x:v>
      </x:c>
    </x:row>
    <x:row r="69">
      <x:c r="A69" t="n">
        <x:f>'Estoque por Lote'!A69</x:f>
        <x:v>0</x:v>
      </x:c>
      <x:c r="B69" t="n">
        <x:f>'Estoque por Lote'!D69</x:f>
        <x:v>0</x:v>
      </x:c>
      <x:c r="C69" s="52" t="str">
        <x:f>'Estoque por Lote'!E69</x:f>
      </x:c>
      <x:c r="D69" s="53" t="str">
        <x:f>'Estoque por Lote'!H69</x:f>
      </x:c>
      <x:c r="E69" s="53" t="str">
        <x:f>'Estoque por Lote'!I69</x:f>
      </x:c>
      <x:c r="F69" s="53" t="str">
        <x:f>IF(B69="","",IF(D69&lt;=0,"",1+COUNTIFS($A$5:$A$104,A69,$D$5:$D$104,"&gt;0",$C$5:$C$104,"&lt;"&amp;C69)))</x:f>
      </x:c>
      <x:c r="G69" t="str">
        <x:f>IF(B69="","",IF(D69&lt;=0,"ESGOTADO",IF(F69=1,"CONSUMIR PRIMEIRO","AGUARDAR")))</x:f>
      </x:c>
      <x:c r="H69" t="n">
        <x:f>'Estoque por Lote'!B69</x:f>
        <x:v>0</x:v>
      </x:c>
      <x:c r="I69" t="n">
        <x:f>'Estoque por Lote'!C69</x:f>
        <x:v>0</x:v>
      </x:c>
    </x:row>
    <x:row r="70">
      <x:c r="A70" t="n">
        <x:f>'Estoque por Lote'!A70</x:f>
        <x:v>0</x:v>
      </x:c>
      <x:c r="B70" t="n">
        <x:f>'Estoque por Lote'!D70</x:f>
        <x:v>0</x:v>
      </x:c>
      <x:c r="C70" s="52" t="str">
        <x:f>'Estoque por Lote'!E70</x:f>
      </x:c>
      <x:c r="D70" s="53" t="str">
        <x:f>'Estoque por Lote'!H70</x:f>
      </x:c>
      <x:c r="E70" s="53" t="str">
        <x:f>'Estoque por Lote'!I70</x:f>
      </x:c>
      <x:c r="F70" s="53" t="str">
        <x:f>IF(B70="","",IF(D70&lt;=0,"",1+COUNTIFS($A$5:$A$104,A70,$D$5:$D$104,"&gt;0",$C$5:$C$104,"&lt;"&amp;C70)))</x:f>
      </x:c>
      <x:c r="G70" t="str">
        <x:f>IF(B70="","",IF(D70&lt;=0,"ESGOTADO",IF(F70=1,"CONSUMIR PRIMEIRO","AGUARDAR")))</x:f>
      </x:c>
      <x:c r="H70" t="n">
        <x:f>'Estoque por Lote'!B70</x:f>
        <x:v>0</x:v>
      </x:c>
      <x:c r="I70" t="n">
        <x:f>'Estoque por Lote'!C70</x:f>
        <x:v>0</x:v>
      </x:c>
    </x:row>
    <x:row r="71">
      <x:c r="A71" t="n">
        <x:f>'Estoque por Lote'!A71</x:f>
        <x:v>0</x:v>
      </x:c>
      <x:c r="B71" t="n">
        <x:f>'Estoque por Lote'!D71</x:f>
        <x:v>0</x:v>
      </x:c>
      <x:c r="C71" s="52" t="str">
        <x:f>'Estoque por Lote'!E71</x:f>
      </x:c>
      <x:c r="D71" s="53" t="str">
        <x:f>'Estoque por Lote'!H71</x:f>
      </x:c>
      <x:c r="E71" s="53" t="str">
        <x:f>'Estoque por Lote'!I71</x:f>
      </x:c>
      <x:c r="F71" s="53" t="str">
        <x:f>IF(B71="","",IF(D71&lt;=0,"",1+COUNTIFS($A$5:$A$104,A71,$D$5:$D$104,"&gt;0",$C$5:$C$104,"&lt;"&amp;C71)))</x:f>
      </x:c>
      <x:c r="G71" t="str">
        <x:f>IF(B71="","",IF(D71&lt;=0,"ESGOTADO",IF(F71=1,"CONSUMIR PRIMEIRO","AGUARDAR")))</x:f>
      </x:c>
      <x:c r="H71" t="n">
        <x:f>'Estoque por Lote'!B71</x:f>
        <x:v>0</x:v>
      </x:c>
      <x:c r="I71" t="n">
        <x:f>'Estoque por Lote'!C71</x:f>
        <x:v>0</x:v>
      </x:c>
    </x:row>
    <x:row r="72">
      <x:c r="A72" t="n">
        <x:f>'Estoque por Lote'!A72</x:f>
        <x:v>0</x:v>
      </x:c>
      <x:c r="B72" t="n">
        <x:f>'Estoque por Lote'!D72</x:f>
        <x:v>0</x:v>
      </x:c>
      <x:c r="C72" s="52" t="str">
        <x:f>'Estoque por Lote'!E72</x:f>
      </x:c>
      <x:c r="D72" s="53" t="str">
        <x:f>'Estoque por Lote'!H72</x:f>
      </x:c>
      <x:c r="E72" s="53" t="str">
        <x:f>'Estoque por Lote'!I72</x:f>
      </x:c>
      <x:c r="F72" s="53" t="str">
        <x:f>IF(B72="","",IF(D72&lt;=0,"",1+COUNTIFS($A$5:$A$104,A72,$D$5:$D$104,"&gt;0",$C$5:$C$104,"&lt;"&amp;C72)))</x:f>
      </x:c>
      <x:c r="G72" t="str">
        <x:f>IF(B72="","",IF(D72&lt;=0,"ESGOTADO",IF(F72=1,"CONSUMIR PRIMEIRO","AGUARDAR")))</x:f>
      </x:c>
      <x:c r="H72" t="n">
        <x:f>'Estoque por Lote'!B72</x:f>
        <x:v>0</x:v>
      </x:c>
      <x:c r="I72" t="n">
        <x:f>'Estoque por Lote'!C72</x:f>
        <x:v>0</x:v>
      </x:c>
    </x:row>
    <x:row r="73">
      <x:c r="A73" t="n">
        <x:f>'Estoque por Lote'!A73</x:f>
        <x:v>0</x:v>
      </x:c>
      <x:c r="B73" t="n">
        <x:f>'Estoque por Lote'!D73</x:f>
        <x:v>0</x:v>
      </x:c>
      <x:c r="C73" s="52" t="str">
        <x:f>'Estoque por Lote'!E73</x:f>
      </x:c>
      <x:c r="D73" s="53" t="str">
        <x:f>'Estoque por Lote'!H73</x:f>
      </x:c>
      <x:c r="E73" s="53" t="str">
        <x:f>'Estoque por Lote'!I73</x:f>
      </x:c>
      <x:c r="F73" s="53" t="str">
        <x:f>IF(B73="","",IF(D73&lt;=0,"",1+COUNTIFS($A$5:$A$104,A73,$D$5:$D$104,"&gt;0",$C$5:$C$104,"&lt;"&amp;C73)))</x:f>
      </x:c>
      <x:c r="G73" t="str">
        <x:f>IF(B73="","",IF(D73&lt;=0,"ESGOTADO",IF(F73=1,"CONSUMIR PRIMEIRO","AGUARDAR")))</x:f>
      </x:c>
      <x:c r="H73" t="n">
        <x:f>'Estoque por Lote'!B73</x:f>
        <x:v>0</x:v>
      </x:c>
      <x:c r="I73" t="n">
        <x:f>'Estoque por Lote'!C73</x:f>
        <x:v>0</x:v>
      </x:c>
    </x:row>
    <x:row r="74">
      <x:c r="A74" t="n">
        <x:f>'Estoque por Lote'!A74</x:f>
        <x:v>0</x:v>
      </x:c>
      <x:c r="B74" t="n">
        <x:f>'Estoque por Lote'!D74</x:f>
        <x:v>0</x:v>
      </x:c>
      <x:c r="C74" s="52" t="str">
        <x:f>'Estoque por Lote'!E74</x:f>
      </x:c>
      <x:c r="D74" s="53" t="str">
        <x:f>'Estoque por Lote'!H74</x:f>
      </x:c>
      <x:c r="E74" s="53" t="str">
        <x:f>'Estoque por Lote'!I74</x:f>
      </x:c>
      <x:c r="F74" s="53" t="str">
        <x:f>IF(B74="","",IF(D74&lt;=0,"",1+COUNTIFS($A$5:$A$104,A74,$D$5:$D$104,"&gt;0",$C$5:$C$104,"&lt;"&amp;C74)))</x:f>
      </x:c>
      <x:c r="G74" t="str">
        <x:f>IF(B74="","",IF(D74&lt;=0,"ESGOTADO",IF(F74=1,"CONSUMIR PRIMEIRO","AGUARDAR")))</x:f>
      </x:c>
      <x:c r="H74" t="n">
        <x:f>'Estoque por Lote'!B74</x:f>
        <x:v>0</x:v>
      </x:c>
      <x:c r="I74" t="n">
        <x:f>'Estoque por Lote'!C74</x:f>
        <x:v>0</x:v>
      </x:c>
    </x:row>
    <x:row r="75">
      <x:c r="A75" t="n">
        <x:f>'Estoque por Lote'!A75</x:f>
        <x:v>0</x:v>
      </x:c>
      <x:c r="B75" t="n">
        <x:f>'Estoque por Lote'!D75</x:f>
        <x:v>0</x:v>
      </x:c>
      <x:c r="C75" s="52" t="str">
        <x:f>'Estoque por Lote'!E75</x:f>
      </x:c>
      <x:c r="D75" s="53" t="str">
        <x:f>'Estoque por Lote'!H75</x:f>
      </x:c>
      <x:c r="E75" s="53" t="str">
        <x:f>'Estoque por Lote'!I75</x:f>
      </x:c>
      <x:c r="F75" s="53" t="str">
        <x:f>IF(B75="","",IF(D75&lt;=0,"",1+COUNTIFS($A$5:$A$104,A75,$D$5:$D$104,"&gt;0",$C$5:$C$104,"&lt;"&amp;C75)))</x:f>
      </x:c>
      <x:c r="G75" t="str">
        <x:f>IF(B75="","",IF(D75&lt;=0,"ESGOTADO",IF(F75=1,"CONSUMIR PRIMEIRO","AGUARDAR")))</x:f>
      </x:c>
      <x:c r="H75" t="n">
        <x:f>'Estoque por Lote'!B75</x:f>
        <x:v>0</x:v>
      </x:c>
      <x:c r="I75" t="n">
        <x:f>'Estoque por Lote'!C75</x:f>
        <x:v>0</x:v>
      </x:c>
    </x:row>
    <x:row r="76">
      <x:c r="A76" t="n">
        <x:f>'Estoque por Lote'!A76</x:f>
        <x:v>0</x:v>
      </x:c>
      <x:c r="B76" t="n">
        <x:f>'Estoque por Lote'!D76</x:f>
        <x:v>0</x:v>
      </x:c>
      <x:c r="C76" s="52" t="str">
        <x:f>'Estoque por Lote'!E76</x:f>
      </x:c>
      <x:c r="D76" s="53" t="str">
        <x:f>'Estoque por Lote'!H76</x:f>
      </x:c>
      <x:c r="E76" s="53" t="str">
        <x:f>'Estoque por Lote'!I76</x:f>
      </x:c>
      <x:c r="F76" s="53" t="str">
        <x:f>IF(B76="","",IF(D76&lt;=0,"",1+COUNTIFS($A$5:$A$104,A76,$D$5:$D$104,"&gt;0",$C$5:$C$104,"&lt;"&amp;C76)))</x:f>
      </x:c>
      <x:c r="G76" t="str">
        <x:f>IF(B76="","",IF(D76&lt;=0,"ESGOTADO",IF(F76=1,"CONSUMIR PRIMEIRO","AGUARDAR")))</x:f>
      </x:c>
      <x:c r="H76" t="n">
        <x:f>'Estoque por Lote'!B76</x:f>
        <x:v>0</x:v>
      </x:c>
      <x:c r="I76" t="n">
        <x:f>'Estoque por Lote'!C76</x:f>
        <x:v>0</x:v>
      </x:c>
    </x:row>
    <x:row r="77">
      <x:c r="A77" t="n">
        <x:f>'Estoque por Lote'!A77</x:f>
        <x:v>0</x:v>
      </x:c>
      <x:c r="B77" t="n">
        <x:f>'Estoque por Lote'!D77</x:f>
        <x:v>0</x:v>
      </x:c>
      <x:c r="C77" s="52" t="str">
        <x:f>'Estoque por Lote'!E77</x:f>
      </x:c>
      <x:c r="D77" s="53" t="str">
        <x:f>'Estoque por Lote'!H77</x:f>
      </x:c>
      <x:c r="E77" s="53" t="str">
        <x:f>'Estoque por Lote'!I77</x:f>
      </x:c>
      <x:c r="F77" s="53" t="str">
        <x:f>IF(B77="","",IF(D77&lt;=0,"",1+COUNTIFS($A$5:$A$104,A77,$D$5:$D$104,"&gt;0",$C$5:$C$104,"&lt;"&amp;C77)))</x:f>
      </x:c>
      <x:c r="G77" t="str">
        <x:f>IF(B77="","",IF(D77&lt;=0,"ESGOTADO",IF(F77=1,"CONSUMIR PRIMEIRO","AGUARDAR")))</x:f>
      </x:c>
      <x:c r="H77" t="n">
        <x:f>'Estoque por Lote'!B77</x:f>
        <x:v>0</x:v>
      </x:c>
      <x:c r="I77" t="n">
        <x:f>'Estoque por Lote'!C77</x:f>
        <x:v>0</x:v>
      </x:c>
    </x:row>
    <x:row r="78">
      <x:c r="A78" t="n">
        <x:f>'Estoque por Lote'!A78</x:f>
        <x:v>0</x:v>
      </x:c>
      <x:c r="B78" t="n">
        <x:f>'Estoque por Lote'!D78</x:f>
        <x:v>0</x:v>
      </x:c>
      <x:c r="C78" s="52" t="str">
        <x:f>'Estoque por Lote'!E78</x:f>
      </x:c>
      <x:c r="D78" s="53" t="str">
        <x:f>'Estoque por Lote'!H78</x:f>
      </x:c>
      <x:c r="E78" s="53" t="str">
        <x:f>'Estoque por Lote'!I78</x:f>
      </x:c>
      <x:c r="F78" s="53" t="str">
        <x:f>IF(B78="","",IF(D78&lt;=0,"",1+COUNTIFS($A$5:$A$104,A78,$D$5:$D$104,"&gt;0",$C$5:$C$104,"&lt;"&amp;C78)))</x:f>
      </x:c>
      <x:c r="G78" t="str">
        <x:f>IF(B78="","",IF(D78&lt;=0,"ESGOTADO",IF(F78=1,"CONSUMIR PRIMEIRO","AGUARDAR")))</x:f>
      </x:c>
      <x:c r="H78" t="n">
        <x:f>'Estoque por Lote'!B78</x:f>
        <x:v>0</x:v>
      </x:c>
      <x:c r="I78" t="n">
        <x:f>'Estoque por Lote'!C78</x:f>
        <x:v>0</x:v>
      </x:c>
    </x:row>
    <x:row r="79">
      <x:c r="A79" t="n">
        <x:f>'Estoque por Lote'!A79</x:f>
        <x:v>0</x:v>
      </x:c>
      <x:c r="B79" t="n">
        <x:f>'Estoque por Lote'!D79</x:f>
        <x:v>0</x:v>
      </x:c>
      <x:c r="C79" s="52" t="str">
        <x:f>'Estoque por Lote'!E79</x:f>
      </x:c>
      <x:c r="D79" s="53" t="str">
        <x:f>'Estoque por Lote'!H79</x:f>
      </x:c>
      <x:c r="E79" s="53" t="str">
        <x:f>'Estoque por Lote'!I79</x:f>
      </x:c>
      <x:c r="F79" s="53" t="str">
        <x:f>IF(B79="","",IF(D79&lt;=0,"",1+COUNTIFS($A$5:$A$104,A79,$D$5:$D$104,"&gt;0",$C$5:$C$104,"&lt;"&amp;C79)))</x:f>
      </x:c>
      <x:c r="G79" t="str">
        <x:f>IF(B79="","",IF(D79&lt;=0,"ESGOTADO",IF(F79=1,"CONSUMIR PRIMEIRO","AGUARDAR")))</x:f>
      </x:c>
      <x:c r="H79" t="n">
        <x:f>'Estoque por Lote'!B79</x:f>
        <x:v>0</x:v>
      </x:c>
      <x:c r="I79" t="n">
        <x:f>'Estoque por Lote'!C79</x:f>
        <x:v>0</x:v>
      </x:c>
    </x:row>
    <x:row r="80">
      <x:c r="A80" t="n">
        <x:f>'Estoque por Lote'!A80</x:f>
        <x:v>0</x:v>
      </x:c>
      <x:c r="B80" t="n">
        <x:f>'Estoque por Lote'!D80</x:f>
        <x:v>0</x:v>
      </x:c>
      <x:c r="C80" s="52" t="str">
        <x:f>'Estoque por Lote'!E80</x:f>
      </x:c>
      <x:c r="D80" s="53" t="str">
        <x:f>'Estoque por Lote'!H80</x:f>
      </x:c>
      <x:c r="E80" s="53" t="str">
        <x:f>'Estoque por Lote'!I80</x:f>
      </x:c>
      <x:c r="F80" s="53" t="str">
        <x:f>IF(B80="","",IF(D80&lt;=0,"",1+COUNTIFS($A$5:$A$104,A80,$D$5:$D$104,"&gt;0",$C$5:$C$104,"&lt;"&amp;C80)))</x:f>
      </x:c>
      <x:c r="G80" t="str">
        <x:f>IF(B80="","",IF(D80&lt;=0,"ESGOTADO",IF(F80=1,"CONSUMIR PRIMEIRO","AGUARDAR")))</x:f>
      </x:c>
      <x:c r="H80" t="n">
        <x:f>'Estoque por Lote'!B80</x:f>
        <x:v>0</x:v>
      </x:c>
      <x:c r="I80" t="n">
        <x:f>'Estoque por Lote'!C80</x:f>
        <x:v>0</x:v>
      </x:c>
    </x:row>
    <x:row r="81">
      <x:c r="A81" t="n">
        <x:f>'Estoque por Lote'!A81</x:f>
        <x:v>0</x:v>
      </x:c>
      <x:c r="B81" t="n">
        <x:f>'Estoque por Lote'!D81</x:f>
        <x:v>0</x:v>
      </x:c>
      <x:c r="C81" s="52" t="str">
        <x:f>'Estoque por Lote'!E81</x:f>
      </x:c>
      <x:c r="D81" s="53" t="str">
        <x:f>'Estoque por Lote'!H81</x:f>
      </x:c>
      <x:c r="E81" s="53" t="str">
        <x:f>'Estoque por Lote'!I81</x:f>
      </x:c>
      <x:c r="F81" s="53" t="str">
        <x:f>IF(B81="","",IF(D81&lt;=0,"",1+COUNTIFS($A$5:$A$104,A81,$D$5:$D$104,"&gt;0",$C$5:$C$104,"&lt;"&amp;C81)))</x:f>
      </x:c>
      <x:c r="G81" t="str">
        <x:f>IF(B81="","",IF(D81&lt;=0,"ESGOTADO",IF(F81=1,"CONSUMIR PRIMEIRO","AGUARDAR")))</x:f>
      </x:c>
      <x:c r="H81" t="n">
        <x:f>'Estoque por Lote'!B81</x:f>
        <x:v>0</x:v>
      </x:c>
      <x:c r="I81" t="n">
        <x:f>'Estoque por Lote'!C81</x:f>
        <x:v>0</x:v>
      </x:c>
    </x:row>
    <x:row r="82">
      <x:c r="A82" t="n">
        <x:f>'Estoque por Lote'!A82</x:f>
        <x:v>0</x:v>
      </x:c>
      <x:c r="B82" t="n">
        <x:f>'Estoque por Lote'!D82</x:f>
        <x:v>0</x:v>
      </x:c>
      <x:c r="C82" s="52" t="str">
        <x:f>'Estoque por Lote'!E82</x:f>
      </x:c>
      <x:c r="D82" s="53" t="str">
        <x:f>'Estoque por Lote'!H82</x:f>
      </x:c>
      <x:c r="E82" s="53" t="str">
        <x:f>'Estoque por Lote'!I82</x:f>
      </x:c>
      <x:c r="F82" s="53" t="str">
        <x:f>IF(B82="","",IF(D82&lt;=0,"",1+COUNTIFS($A$5:$A$104,A82,$D$5:$D$104,"&gt;0",$C$5:$C$104,"&lt;"&amp;C82)))</x:f>
      </x:c>
      <x:c r="G82" t="str">
        <x:f>IF(B82="","",IF(D82&lt;=0,"ESGOTADO",IF(F82=1,"CONSUMIR PRIMEIRO","AGUARDAR")))</x:f>
      </x:c>
      <x:c r="H82" t="n">
        <x:f>'Estoque por Lote'!B82</x:f>
        <x:v>0</x:v>
      </x:c>
      <x:c r="I82" t="n">
        <x:f>'Estoque por Lote'!C82</x:f>
        <x:v>0</x:v>
      </x:c>
    </x:row>
    <x:row r="83">
      <x:c r="A83" t="n">
        <x:f>'Estoque por Lote'!A83</x:f>
        <x:v>0</x:v>
      </x:c>
      <x:c r="B83" t="n">
        <x:f>'Estoque por Lote'!D83</x:f>
        <x:v>0</x:v>
      </x:c>
      <x:c r="C83" s="52" t="str">
        <x:f>'Estoque por Lote'!E83</x:f>
      </x:c>
      <x:c r="D83" s="53" t="str">
        <x:f>'Estoque por Lote'!H83</x:f>
      </x:c>
      <x:c r="E83" s="53" t="str">
        <x:f>'Estoque por Lote'!I83</x:f>
      </x:c>
      <x:c r="F83" s="53" t="str">
        <x:f>IF(B83="","",IF(D83&lt;=0,"",1+COUNTIFS($A$5:$A$104,A83,$D$5:$D$104,"&gt;0",$C$5:$C$104,"&lt;"&amp;C83)))</x:f>
      </x:c>
      <x:c r="G83" t="str">
        <x:f>IF(B83="","",IF(D83&lt;=0,"ESGOTADO",IF(F83=1,"CONSUMIR PRIMEIRO","AGUARDAR")))</x:f>
      </x:c>
      <x:c r="H83" t="n">
        <x:f>'Estoque por Lote'!B83</x:f>
        <x:v>0</x:v>
      </x:c>
      <x:c r="I83" t="n">
        <x:f>'Estoque por Lote'!C83</x:f>
        <x:v>0</x:v>
      </x:c>
    </x:row>
    <x:row r="84">
      <x:c r="A84" t="n">
        <x:f>'Estoque por Lote'!A84</x:f>
        <x:v>0</x:v>
      </x:c>
      <x:c r="B84" t="n">
        <x:f>'Estoque por Lote'!D84</x:f>
        <x:v>0</x:v>
      </x:c>
      <x:c r="C84" s="52" t="str">
        <x:f>'Estoque por Lote'!E84</x:f>
      </x:c>
      <x:c r="D84" s="53" t="str">
        <x:f>'Estoque por Lote'!H84</x:f>
      </x:c>
      <x:c r="E84" s="53" t="str">
        <x:f>'Estoque por Lote'!I84</x:f>
      </x:c>
      <x:c r="F84" s="53" t="str">
        <x:f>IF(B84="","",IF(D84&lt;=0,"",1+COUNTIFS($A$5:$A$104,A84,$D$5:$D$104,"&gt;0",$C$5:$C$104,"&lt;"&amp;C84)))</x:f>
      </x:c>
      <x:c r="G84" t="str">
        <x:f>IF(B84="","",IF(D84&lt;=0,"ESGOTADO",IF(F84=1,"CONSUMIR PRIMEIRO","AGUARDAR")))</x:f>
      </x:c>
      <x:c r="H84" t="n">
        <x:f>'Estoque por Lote'!B84</x:f>
        <x:v>0</x:v>
      </x:c>
      <x:c r="I84" t="n">
        <x:f>'Estoque por Lote'!C84</x:f>
        <x:v>0</x:v>
      </x:c>
    </x:row>
    <x:row r="85">
      <x:c r="A85" t="n">
        <x:f>'Estoque por Lote'!A85</x:f>
        <x:v>0</x:v>
      </x:c>
      <x:c r="B85" t="n">
        <x:f>'Estoque por Lote'!D85</x:f>
        <x:v>0</x:v>
      </x:c>
      <x:c r="C85" s="52" t="str">
        <x:f>'Estoque por Lote'!E85</x:f>
      </x:c>
      <x:c r="D85" s="53" t="str">
        <x:f>'Estoque por Lote'!H85</x:f>
      </x:c>
      <x:c r="E85" s="53" t="str">
        <x:f>'Estoque por Lote'!I85</x:f>
      </x:c>
      <x:c r="F85" s="53" t="str">
        <x:f>IF(B85="","",IF(D85&lt;=0,"",1+COUNTIFS($A$5:$A$104,A85,$D$5:$D$104,"&gt;0",$C$5:$C$104,"&lt;"&amp;C85)))</x:f>
      </x:c>
      <x:c r="G85" t="str">
        <x:f>IF(B85="","",IF(D85&lt;=0,"ESGOTADO",IF(F85=1,"CONSUMIR PRIMEIRO","AGUARDAR")))</x:f>
      </x:c>
      <x:c r="H85" t="n">
        <x:f>'Estoque por Lote'!B85</x:f>
        <x:v>0</x:v>
      </x:c>
      <x:c r="I85" t="n">
        <x:f>'Estoque por Lote'!C85</x:f>
        <x:v>0</x:v>
      </x:c>
    </x:row>
    <x:row r="86">
      <x:c r="A86" t="n">
        <x:f>'Estoque por Lote'!A86</x:f>
        <x:v>0</x:v>
      </x:c>
      <x:c r="B86" t="n">
        <x:f>'Estoque por Lote'!D86</x:f>
        <x:v>0</x:v>
      </x:c>
      <x:c r="C86" s="52" t="str">
        <x:f>'Estoque por Lote'!E86</x:f>
      </x:c>
      <x:c r="D86" s="53" t="str">
        <x:f>'Estoque por Lote'!H86</x:f>
      </x:c>
      <x:c r="E86" s="53" t="str">
        <x:f>'Estoque por Lote'!I86</x:f>
      </x:c>
      <x:c r="F86" s="53" t="str">
        <x:f>IF(B86="","",IF(D86&lt;=0,"",1+COUNTIFS($A$5:$A$104,A86,$D$5:$D$104,"&gt;0",$C$5:$C$104,"&lt;"&amp;C86)))</x:f>
      </x:c>
      <x:c r="G86" t="str">
        <x:f>IF(B86="","",IF(D86&lt;=0,"ESGOTADO",IF(F86=1,"CONSUMIR PRIMEIRO","AGUARDAR")))</x:f>
      </x:c>
      <x:c r="H86" t="n">
        <x:f>'Estoque por Lote'!B86</x:f>
        <x:v>0</x:v>
      </x:c>
      <x:c r="I86" t="n">
        <x:f>'Estoque por Lote'!C86</x:f>
        <x:v>0</x:v>
      </x:c>
    </x:row>
    <x:row r="87">
      <x:c r="A87" t="n">
        <x:f>'Estoque por Lote'!A87</x:f>
        <x:v>0</x:v>
      </x:c>
      <x:c r="B87" t="n">
        <x:f>'Estoque por Lote'!D87</x:f>
        <x:v>0</x:v>
      </x:c>
      <x:c r="C87" s="52" t="str">
        <x:f>'Estoque por Lote'!E87</x:f>
      </x:c>
      <x:c r="D87" s="53" t="str">
        <x:f>'Estoque por Lote'!H87</x:f>
      </x:c>
      <x:c r="E87" s="53" t="str">
        <x:f>'Estoque por Lote'!I87</x:f>
      </x:c>
      <x:c r="F87" s="53" t="str">
        <x:f>IF(B87="","",IF(D87&lt;=0,"",1+COUNTIFS($A$5:$A$104,A87,$D$5:$D$104,"&gt;0",$C$5:$C$104,"&lt;"&amp;C87)))</x:f>
      </x:c>
      <x:c r="G87" t="str">
        <x:f>IF(B87="","",IF(D87&lt;=0,"ESGOTADO",IF(F87=1,"CONSUMIR PRIMEIRO","AGUARDAR")))</x:f>
      </x:c>
      <x:c r="H87" t="n">
        <x:f>'Estoque por Lote'!B87</x:f>
        <x:v>0</x:v>
      </x:c>
      <x:c r="I87" t="n">
        <x:f>'Estoque por Lote'!C87</x:f>
        <x:v>0</x:v>
      </x:c>
    </x:row>
    <x:row r="88">
      <x:c r="A88" t="n">
        <x:f>'Estoque por Lote'!A88</x:f>
        <x:v>0</x:v>
      </x:c>
      <x:c r="B88" t="n">
        <x:f>'Estoque por Lote'!D88</x:f>
        <x:v>0</x:v>
      </x:c>
      <x:c r="C88" s="52" t="str">
        <x:f>'Estoque por Lote'!E88</x:f>
      </x:c>
      <x:c r="D88" s="53" t="str">
        <x:f>'Estoque por Lote'!H88</x:f>
      </x:c>
      <x:c r="E88" s="53" t="str">
        <x:f>'Estoque por Lote'!I88</x:f>
      </x:c>
      <x:c r="F88" s="53" t="str">
        <x:f>IF(B88="","",IF(D88&lt;=0,"",1+COUNTIFS($A$5:$A$104,A88,$D$5:$D$104,"&gt;0",$C$5:$C$104,"&lt;"&amp;C88)))</x:f>
      </x:c>
      <x:c r="G88" t="str">
        <x:f>IF(B88="","",IF(D88&lt;=0,"ESGOTADO",IF(F88=1,"CONSUMIR PRIMEIRO","AGUARDAR")))</x:f>
      </x:c>
      <x:c r="H88" t="n">
        <x:f>'Estoque por Lote'!B88</x:f>
        <x:v>0</x:v>
      </x:c>
      <x:c r="I88" t="n">
        <x:f>'Estoque por Lote'!C88</x:f>
        <x:v>0</x:v>
      </x:c>
    </x:row>
    <x:row r="89">
      <x:c r="A89" t="n">
        <x:f>'Estoque por Lote'!A89</x:f>
        <x:v>0</x:v>
      </x:c>
      <x:c r="B89" t="n">
        <x:f>'Estoque por Lote'!D89</x:f>
        <x:v>0</x:v>
      </x:c>
      <x:c r="C89" s="52" t="str">
        <x:f>'Estoque por Lote'!E89</x:f>
      </x:c>
      <x:c r="D89" s="53" t="str">
        <x:f>'Estoque por Lote'!H89</x:f>
      </x:c>
      <x:c r="E89" s="53" t="str">
        <x:f>'Estoque por Lote'!I89</x:f>
      </x:c>
      <x:c r="F89" s="53" t="str">
        <x:f>IF(B89="","",IF(D89&lt;=0,"",1+COUNTIFS($A$5:$A$104,A89,$D$5:$D$104,"&gt;0",$C$5:$C$104,"&lt;"&amp;C89)))</x:f>
      </x:c>
      <x:c r="G89" t="str">
        <x:f>IF(B89="","",IF(D89&lt;=0,"ESGOTADO",IF(F89=1,"CONSUMIR PRIMEIRO","AGUARDAR")))</x:f>
      </x:c>
      <x:c r="H89" t="n">
        <x:f>'Estoque por Lote'!B89</x:f>
        <x:v>0</x:v>
      </x:c>
      <x:c r="I89" t="n">
        <x:f>'Estoque por Lote'!C89</x:f>
        <x:v>0</x:v>
      </x:c>
    </x:row>
    <x:row r="90">
      <x:c r="A90" t="n">
        <x:f>'Estoque por Lote'!A90</x:f>
        <x:v>0</x:v>
      </x:c>
      <x:c r="B90" t="n">
        <x:f>'Estoque por Lote'!D90</x:f>
        <x:v>0</x:v>
      </x:c>
      <x:c r="C90" s="52" t="str">
        <x:f>'Estoque por Lote'!E90</x:f>
      </x:c>
      <x:c r="D90" s="53" t="str">
        <x:f>'Estoque por Lote'!H90</x:f>
      </x:c>
      <x:c r="E90" s="53" t="str">
        <x:f>'Estoque por Lote'!I90</x:f>
      </x:c>
      <x:c r="F90" s="53" t="str">
        <x:f>IF(B90="","",IF(D90&lt;=0,"",1+COUNTIFS($A$5:$A$104,A90,$D$5:$D$104,"&gt;0",$C$5:$C$104,"&lt;"&amp;C90)))</x:f>
      </x:c>
      <x:c r="G90" t="str">
        <x:f>IF(B90="","",IF(D90&lt;=0,"ESGOTADO",IF(F90=1,"CONSUMIR PRIMEIRO","AGUARDAR")))</x:f>
      </x:c>
      <x:c r="H90" t="n">
        <x:f>'Estoque por Lote'!B90</x:f>
        <x:v>0</x:v>
      </x:c>
      <x:c r="I90" t="n">
        <x:f>'Estoque por Lote'!C90</x:f>
        <x:v>0</x:v>
      </x:c>
    </x:row>
    <x:row r="91">
      <x:c r="A91" t="n">
        <x:f>'Estoque por Lote'!A91</x:f>
        <x:v>0</x:v>
      </x:c>
      <x:c r="B91" t="n">
        <x:f>'Estoque por Lote'!D91</x:f>
        <x:v>0</x:v>
      </x:c>
      <x:c r="C91" s="52" t="str">
        <x:f>'Estoque por Lote'!E91</x:f>
      </x:c>
      <x:c r="D91" s="53" t="str">
        <x:f>'Estoque por Lote'!H91</x:f>
      </x:c>
      <x:c r="E91" s="53" t="str">
        <x:f>'Estoque por Lote'!I91</x:f>
      </x:c>
      <x:c r="F91" s="53" t="str">
        <x:f>IF(B91="","",IF(D91&lt;=0,"",1+COUNTIFS($A$5:$A$104,A91,$D$5:$D$104,"&gt;0",$C$5:$C$104,"&lt;"&amp;C91)))</x:f>
      </x:c>
      <x:c r="G91" t="str">
        <x:f>IF(B91="","",IF(D91&lt;=0,"ESGOTADO",IF(F91=1,"CONSUMIR PRIMEIRO","AGUARDAR")))</x:f>
      </x:c>
      <x:c r="H91" t="n">
        <x:f>'Estoque por Lote'!B91</x:f>
        <x:v>0</x:v>
      </x:c>
      <x:c r="I91" t="n">
        <x:f>'Estoque por Lote'!C91</x:f>
        <x:v>0</x:v>
      </x:c>
    </x:row>
    <x:row r="92">
      <x:c r="A92" t="n">
        <x:f>'Estoque por Lote'!A92</x:f>
        <x:v>0</x:v>
      </x:c>
      <x:c r="B92" t="n">
        <x:f>'Estoque por Lote'!D92</x:f>
        <x:v>0</x:v>
      </x:c>
      <x:c r="C92" s="52" t="str">
        <x:f>'Estoque por Lote'!E92</x:f>
      </x:c>
      <x:c r="D92" s="53" t="str">
        <x:f>'Estoque por Lote'!H92</x:f>
      </x:c>
      <x:c r="E92" s="53" t="str">
        <x:f>'Estoque por Lote'!I92</x:f>
      </x:c>
      <x:c r="F92" s="53" t="str">
        <x:f>IF(B92="","",IF(D92&lt;=0,"",1+COUNTIFS($A$5:$A$104,A92,$D$5:$D$104,"&gt;0",$C$5:$C$104,"&lt;"&amp;C92)))</x:f>
      </x:c>
      <x:c r="G92" t="str">
        <x:f>IF(B92="","",IF(D92&lt;=0,"ESGOTADO",IF(F92=1,"CONSUMIR PRIMEIRO","AGUARDAR")))</x:f>
      </x:c>
      <x:c r="H92" t="n">
        <x:f>'Estoque por Lote'!B92</x:f>
        <x:v>0</x:v>
      </x:c>
      <x:c r="I92" t="n">
        <x:f>'Estoque por Lote'!C92</x:f>
        <x:v>0</x:v>
      </x:c>
    </x:row>
    <x:row r="93">
      <x:c r="A93" t="n">
        <x:f>'Estoque por Lote'!A93</x:f>
        <x:v>0</x:v>
      </x:c>
      <x:c r="B93" t="n">
        <x:f>'Estoque por Lote'!D93</x:f>
        <x:v>0</x:v>
      </x:c>
      <x:c r="C93" s="52" t="str">
        <x:f>'Estoque por Lote'!E93</x:f>
      </x:c>
      <x:c r="D93" s="53" t="str">
        <x:f>'Estoque por Lote'!H93</x:f>
      </x:c>
      <x:c r="E93" s="53" t="str">
        <x:f>'Estoque por Lote'!I93</x:f>
      </x:c>
      <x:c r="F93" s="53" t="str">
        <x:f>IF(B93="","",IF(D93&lt;=0,"",1+COUNTIFS($A$5:$A$104,A93,$D$5:$D$104,"&gt;0",$C$5:$C$104,"&lt;"&amp;C93)))</x:f>
      </x:c>
      <x:c r="G93" t="str">
        <x:f>IF(B93="","",IF(D93&lt;=0,"ESGOTADO",IF(F93=1,"CONSUMIR PRIMEIRO","AGUARDAR")))</x:f>
      </x:c>
      <x:c r="H93" t="n">
        <x:f>'Estoque por Lote'!B93</x:f>
        <x:v>0</x:v>
      </x:c>
      <x:c r="I93" t="n">
        <x:f>'Estoque por Lote'!C93</x:f>
        <x:v>0</x:v>
      </x:c>
    </x:row>
    <x:row r="94">
      <x:c r="A94" t="n">
        <x:f>'Estoque por Lote'!A94</x:f>
        <x:v>0</x:v>
      </x:c>
      <x:c r="B94" t="n">
        <x:f>'Estoque por Lote'!D94</x:f>
        <x:v>0</x:v>
      </x:c>
      <x:c r="C94" s="52" t="str">
        <x:f>'Estoque por Lote'!E94</x:f>
      </x:c>
      <x:c r="D94" s="53" t="str">
        <x:f>'Estoque por Lote'!H94</x:f>
      </x:c>
      <x:c r="E94" s="53" t="str">
        <x:f>'Estoque por Lote'!I94</x:f>
      </x:c>
      <x:c r="F94" s="53" t="str">
        <x:f>IF(B94="","",IF(D94&lt;=0,"",1+COUNTIFS($A$5:$A$104,A94,$D$5:$D$104,"&gt;0",$C$5:$C$104,"&lt;"&amp;C94)))</x:f>
      </x:c>
      <x:c r="G94" t="str">
        <x:f>IF(B94="","",IF(D94&lt;=0,"ESGOTADO",IF(F94=1,"CONSUMIR PRIMEIRO","AGUARDAR")))</x:f>
      </x:c>
      <x:c r="H94" t="n">
        <x:f>'Estoque por Lote'!B94</x:f>
        <x:v>0</x:v>
      </x:c>
      <x:c r="I94" t="n">
        <x:f>'Estoque por Lote'!C94</x:f>
        <x:v>0</x:v>
      </x:c>
    </x:row>
    <x:row r="95">
      <x:c r="A95" t="n">
        <x:f>'Estoque por Lote'!A95</x:f>
        <x:v>0</x:v>
      </x:c>
      <x:c r="B95" t="n">
        <x:f>'Estoque por Lote'!D95</x:f>
        <x:v>0</x:v>
      </x:c>
      <x:c r="C95" s="52" t="str">
        <x:f>'Estoque por Lote'!E95</x:f>
      </x:c>
      <x:c r="D95" s="53" t="str">
        <x:f>'Estoque por Lote'!H95</x:f>
      </x:c>
      <x:c r="E95" s="53" t="str">
        <x:f>'Estoque por Lote'!I95</x:f>
      </x:c>
      <x:c r="F95" s="53" t="str">
        <x:f>IF(B95="","",IF(D95&lt;=0,"",1+COUNTIFS($A$5:$A$104,A95,$D$5:$D$104,"&gt;0",$C$5:$C$104,"&lt;"&amp;C95)))</x:f>
      </x:c>
      <x:c r="G95" t="str">
        <x:f>IF(B95="","",IF(D95&lt;=0,"ESGOTADO",IF(F95=1,"CONSUMIR PRIMEIRO","AGUARDAR")))</x:f>
      </x:c>
      <x:c r="H95" t="n">
        <x:f>'Estoque por Lote'!B95</x:f>
        <x:v>0</x:v>
      </x:c>
      <x:c r="I95" t="n">
        <x:f>'Estoque por Lote'!C95</x:f>
        <x:v>0</x:v>
      </x:c>
    </x:row>
    <x:row r="96">
      <x:c r="A96" t="n">
        <x:f>'Estoque por Lote'!A96</x:f>
        <x:v>0</x:v>
      </x:c>
      <x:c r="B96" t="n">
        <x:f>'Estoque por Lote'!D96</x:f>
        <x:v>0</x:v>
      </x:c>
      <x:c r="C96" s="52" t="str">
        <x:f>'Estoque por Lote'!E96</x:f>
      </x:c>
      <x:c r="D96" s="53" t="str">
        <x:f>'Estoque por Lote'!H96</x:f>
      </x:c>
      <x:c r="E96" s="53" t="str">
        <x:f>'Estoque por Lote'!I96</x:f>
      </x:c>
      <x:c r="F96" s="53" t="str">
        <x:f>IF(B96="","",IF(D96&lt;=0,"",1+COUNTIFS($A$5:$A$104,A96,$D$5:$D$104,"&gt;0",$C$5:$C$104,"&lt;"&amp;C96)))</x:f>
      </x:c>
      <x:c r="G96" t="str">
        <x:f>IF(B96="","",IF(D96&lt;=0,"ESGOTADO",IF(F96=1,"CONSUMIR PRIMEIRO","AGUARDAR")))</x:f>
      </x:c>
      <x:c r="H96" t="n">
        <x:f>'Estoque por Lote'!B96</x:f>
        <x:v>0</x:v>
      </x:c>
      <x:c r="I96" t="n">
        <x:f>'Estoque por Lote'!C96</x:f>
        <x:v>0</x:v>
      </x:c>
    </x:row>
    <x:row r="97">
      <x:c r="A97" t="n">
        <x:f>'Estoque por Lote'!A97</x:f>
        <x:v>0</x:v>
      </x:c>
      <x:c r="B97" t="n">
        <x:f>'Estoque por Lote'!D97</x:f>
        <x:v>0</x:v>
      </x:c>
      <x:c r="C97" s="52" t="str">
        <x:f>'Estoque por Lote'!E97</x:f>
      </x:c>
      <x:c r="D97" s="53" t="str">
        <x:f>'Estoque por Lote'!H97</x:f>
      </x:c>
      <x:c r="E97" s="53" t="str">
        <x:f>'Estoque por Lote'!I97</x:f>
      </x:c>
      <x:c r="F97" s="53" t="str">
        <x:f>IF(B97="","",IF(D97&lt;=0,"",1+COUNTIFS($A$5:$A$104,A97,$D$5:$D$104,"&gt;0",$C$5:$C$104,"&lt;"&amp;C97)))</x:f>
      </x:c>
      <x:c r="G97" t="str">
        <x:f>IF(B97="","",IF(D97&lt;=0,"ESGOTADO",IF(F97=1,"CONSUMIR PRIMEIRO","AGUARDAR")))</x:f>
      </x:c>
      <x:c r="H97" t="n">
        <x:f>'Estoque por Lote'!B97</x:f>
        <x:v>0</x:v>
      </x:c>
      <x:c r="I97" t="n">
        <x:f>'Estoque por Lote'!C97</x:f>
        <x:v>0</x:v>
      </x:c>
    </x:row>
    <x:row r="98">
      <x:c r="A98" t="n">
        <x:f>'Estoque por Lote'!A98</x:f>
        <x:v>0</x:v>
      </x:c>
      <x:c r="B98" t="n">
        <x:f>'Estoque por Lote'!D98</x:f>
        <x:v>0</x:v>
      </x:c>
      <x:c r="C98" s="52" t="str">
        <x:f>'Estoque por Lote'!E98</x:f>
      </x:c>
      <x:c r="D98" s="53" t="str">
        <x:f>'Estoque por Lote'!H98</x:f>
      </x:c>
      <x:c r="E98" s="53" t="str">
        <x:f>'Estoque por Lote'!I98</x:f>
      </x:c>
      <x:c r="F98" s="53" t="str">
        <x:f>IF(B98="","",IF(D98&lt;=0,"",1+COUNTIFS($A$5:$A$104,A98,$D$5:$D$104,"&gt;0",$C$5:$C$104,"&lt;"&amp;C98)))</x:f>
      </x:c>
      <x:c r="G98" t="str">
        <x:f>IF(B98="","",IF(D98&lt;=0,"ESGOTADO",IF(F98=1,"CONSUMIR PRIMEIRO","AGUARDAR")))</x:f>
      </x:c>
      <x:c r="H98" t="n">
        <x:f>'Estoque por Lote'!B98</x:f>
        <x:v>0</x:v>
      </x:c>
      <x:c r="I98" t="n">
        <x:f>'Estoque por Lote'!C98</x:f>
        <x:v>0</x:v>
      </x:c>
    </x:row>
    <x:row r="99">
      <x:c r="A99" t="n">
        <x:f>'Estoque por Lote'!A99</x:f>
        <x:v>0</x:v>
      </x:c>
      <x:c r="B99" t="n">
        <x:f>'Estoque por Lote'!D99</x:f>
        <x:v>0</x:v>
      </x:c>
      <x:c r="C99" s="52" t="str">
        <x:f>'Estoque por Lote'!E99</x:f>
      </x:c>
      <x:c r="D99" s="53" t="str">
        <x:f>'Estoque por Lote'!H99</x:f>
      </x:c>
      <x:c r="E99" s="53" t="str">
        <x:f>'Estoque por Lote'!I99</x:f>
      </x:c>
      <x:c r="F99" s="53" t="str">
        <x:f>IF(B99="","",IF(D99&lt;=0,"",1+COUNTIFS($A$5:$A$104,A99,$D$5:$D$104,"&gt;0",$C$5:$C$104,"&lt;"&amp;C99)))</x:f>
      </x:c>
      <x:c r="G99" t="str">
        <x:f>IF(B99="","",IF(D99&lt;=0,"ESGOTADO",IF(F99=1,"CONSUMIR PRIMEIRO","AGUARDAR")))</x:f>
      </x:c>
      <x:c r="H99" t="n">
        <x:f>'Estoque por Lote'!B99</x:f>
        <x:v>0</x:v>
      </x:c>
      <x:c r="I99" t="n">
        <x:f>'Estoque por Lote'!C99</x:f>
        <x:v>0</x:v>
      </x:c>
    </x:row>
    <x:row r="100">
      <x:c r="A100" t="n">
        <x:f>'Estoque por Lote'!A100</x:f>
        <x:v>0</x:v>
      </x:c>
      <x:c r="B100" t="n">
        <x:f>'Estoque por Lote'!D100</x:f>
        <x:v>0</x:v>
      </x:c>
      <x:c r="C100" s="52" t="str">
        <x:f>'Estoque por Lote'!E100</x:f>
      </x:c>
      <x:c r="D100" s="53" t="str">
        <x:f>'Estoque por Lote'!H100</x:f>
      </x:c>
      <x:c r="E100" s="53" t="str">
        <x:f>'Estoque por Lote'!I100</x:f>
      </x:c>
      <x:c r="F100" s="53" t="str">
        <x:f>IF(B100="","",IF(D100&lt;=0,"",1+COUNTIFS($A$5:$A$104,A100,$D$5:$D$104,"&gt;0",$C$5:$C$104,"&lt;"&amp;C100)))</x:f>
      </x:c>
      <x:c r="G100" t="str">
        <x:f>IF(B100="","",IF(D100&lt;=0,"ESGOTADO",IF(F100=1,"CONSUMIR PRIMEIRO","AGUARDAR")))</x:f>
      </x:c>
      <x:c r="H100" t="n">
        <x:f>'Estoque por Lote'!B100</x:f>
        <x:v>0</x:v>
      </x:c>
      <x:c r="I100" t="n">
        <x:f>'Estoque por Lote'!C100</x:f>
        <x:v>0</x:v>
      </x:c>
    </x:row>
    <x:row r="101">
      <x:c r="A101" t="n">
        <x:f>'Estoque por Lote'!A101</x:f>
        <x:v>0</x:v>
      </x:c>
      <x:c r="B101" t="n">
        <x:f>'Estoque por Lote'!D101</x:f>
        <x:v>0</x:v>
      </x:c>
      <x:c r="C101" s="52" t="str">
        <x:f>'Estoque por Lote'!E101</x:f>
      </x:c>
      <x:c r="D101" s="53" t="str">
        <x:f>'Estoque por Lote'!H101</x:f>
      </x:c>
      <x:c r="E101" s="53" t="str">
        <x:f>'Estoque por Lote'!I101</x:f>
      </x:c>
      <x:c r="F101" s="53" t="str">
        <x:f>IF(B101="","",IF(D101&lt;=0,"",1+COUNTIFS($A$5:$A$104,A101,$D$5:$D$104,"&gt;0",$C$5:$C$104,"&lt;"&amp;C101)))</x:f>
      </x:c>
      <x:c r="G101" t="str">
        <x:f>IF(B101="","",IF(D101&lt;=0,"ESGOTADO",IF(F101=1,"CONSUMIR PRIMEIRO","AGUARDAR")))</x:f>
      </x:c>
      <x:c r="H101" t="n">
        <x:f>'Estoque por Lote'!B101</x:f>
        <x:v>0</x:v>
      </x:c>
      <x:c r="I101" t="n">
        <x:f>'Estoque por Lote'!C101</x:f>
        <x:v>0</x:v>
      </x:c>
    </x:row>
    <x:row r="102">
      <x:c r="A102" t="n">
        <x:f>'Estoque por Lote'!A102</x:f>
        <x:v>0</x:v>
      </x:c>
      <x:c r="B102" t="n">
        <x:f>'Estoque por Lote'!D102</x:f>
        <x:v>0</x:v>
      </x:c>
      <x:c r="C102" s="52" t="str">
        <x:f>'Estoque por Lote'!E102</x:f>
      </x:c>
      <x:c r="D102" s="53" t="str">
        <x:f>'Estoque por Lote'!H102</x:f>
      </x:c>
      <x:c r="E102" s="53" t="str">
        <x:f>'Estoque por Lote'!I102</x:f>
      </x:c>
      <x:c r="F102" s="53" t="str">
        <x:f>IF(B102="","",IF(D102&lt;=0,"",1+COUNTIFS($A$5:$A$104,A102,$D$5:$D$104,"&gt;0",$C$5:$C$104,"&lt;"&amp;C102)))</x:f>
      </x:c>
      <x:c r="G102" t="str">
        <x:f>IF(B102="","",IF(D102&lt;=0,"ESGOTADO",IF(F102=1,"CONSUMIR PRIMEIRO","AGUARDAR")))</x:f>
      </x:c>
      <x:c r="H102" t="n">
        <x:f>'Estoque por Lote'!B102</x:f>
        <x:v>0</x:v>
      </x:c>
      <x:c r="I102" t="n">
        <x:f>'Estoque por Lote'!C102</x:f>
        <x:v>0</x:v>
      </x:c>
    </x:row>
    <x:row r="103">
      <x:c r="A103" t="n">
        <x:f>'Estoque por Lote'!A103</x:f>
        <x:v>0</x:v>
      </x:c>
      <x:c r="B103" t="n">
        <x:f>'Estoque por Lote'!D103</x:f>
        <x:v>0</x:v>
      </x:c>
      <x:c r="C103" s="52" t="str">
        <x:f>'Estoque por Lote'!E103</x:f>
      </x:c>
      <x:c r="D103" s="53" t="str">
        <x:f>'Estoque por Lote'!H103</x:f>
      </x:c>
      <x:c r="E103" s="53" t="str">
        <x:f>'Estoque por Lote'!I103</x:f>
      </x:c>
      <x:c r="F103" s="53" t="str">
        <x:f>IF(B103="","",IF(D103&lt;=0,"",1+COUNTIFS($A$5:$A$104,A103,$D$5:$D$104,"&gt;0",$C$5:$C$104,"&lt;"&amp;C103)))</x:f>
      </x:c>
      <x:c r="G103" t="str">
        <x:f>IF(B103="","",IF(D103&lt;=0,"ESGOTADO",IF(F103=1,"CONSUMIR PRIMEIRO","AGUARDAR")))</x:f>
      </x:c>
      <x:c r="H103" t="n">
        <x:f>'Estoque por Lote'!B103</x:f>
        <x:v>0</x:v>
      </x:c>
      <x:c r="I103" t="n">
        <x:f>'Estoque por Lote'!C103</x:f>
        <x:v>0</x:v>
      </x:c>
    </x:row>
    <x:row r="104">
      <x:c r="A104" t="n">
        <x:f>'Estoque por Lote'!A104</x:f>
        <x:v>0</x:v>
      </x:c>
      <x:c r="B104" t="n">
        <x:f>'Estoque por Lote'!D104</x:f>
        <x:v>0</x:v>
      </x:c>
      <x:c r="C104" s="52" t="n">
        <x:f>'Estoque por Lote'!E104</x:f>
        <x:v>0</x:v>
      </x:c>
      <x:c r="D104" s="53" t="n">
        <x:f>'Estoque por Lote'!H104</x:f>
        <x:v>0</x:v>
      </x:c>
      <x:c r="E104" s="53" t="n">
        <x:f>'Estoque por Lote'!I104</x:f>
        <x:v>0</x:v>
      </x:c>
      <x:c r="F104" s="53" t="str">
        <x:f>IF(B104="","",IF(D104&lt;=0,"",1+COUNTIFS($A$5:$A$104,A104,$D$5:$D$104,"&gt;0",$C$5:$C$104,"&lt;"&amp;C104)))</x:f>
      </x:c>
      <x:c r="G104" t="str">
        <x:f>IF(B104="","",IF(D104&lt;=0,"ESGOTADO",IF(F104=1,"CONSUMIR PRIMEIRO","AGUARDAR")))</x:f>
      </x:c>
      <x:c r="H104" t="n">
        <x:f>'Estoque por Lote'!B104</x:f>
        <x:v>0</x:v>
      </x:c>
      <x:c r="I104" t="n">
        <x:f>'Estoque por Lote'!C104</x:f>
        <x:v>0</x:v>
      </x:c>
    </x:row>
  </x:sheetData>
  <x:mergeCells>
    <x:mergeCell ref="A1:I1"/>
    <x:mergeCell ref="A2:I2"/>
  </x:mergeCells>
  <x:conditionalFormatting sqref="G5:G104">
    <x:cfRule type="containsText" dxfId="4" priority="1" operator="containsText" text="CONSUMIR PRIMEIRO"/>
    <x:cfRule type="containsText" dxfId="5" priority="2" operator="containsText" text="ESGOTADO"/>
  </x:conditionalFormatting>
  <x:pageMargins left="0.7" right="0.7" top="0.75" bottom="0.75" header="0.3" footer="0.3"/>
  <x:tableParts count="1">
    <x:tablePart xmlns:r="http://schemas.openxmlformats.org/officeDocument/2006/relationships" r:id="R1c88863bb11546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6.110000133514404" hidden="0" customWidth="1"/>
    <x:col min="3" max="3" width="61" hidden="0" customWidth="1"/>
    <x:col min="4" max="4" width="17.559999465942383" hidden="0" customWidth="1"/>
    <x:col min="5" max="5" width="18.670000076293945" hidden="0" customWidth="1"/>
    <x:col min="6" max="6" width="17" hidden="0" customWidth="1"/>
    <x:col min="8" max="8" width="6.670000076293945" hidden="0" customWidth="1"/>
    <x:col min="9" max="9" width="9.220000267028809" hidden="0" customWidth="1"/>
    <x:col min="10" max="10" width="7.78000020980835" hidden="0" customWidth="1"/>
  </x:cols>
  <x:sheetData>
    <x:row r="1" ht="30" customHeight="1">
      <x:c r="A1" s="3" t="str">
        <x:v>REGRAS DO CONTROLE DE ESTOQUE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3">
      <x:c r="A3" s="9" t="str">
        <x:v>Setor</x:v>
      </x:c>
      <x:c r="B3" s="9" t="str">
        <x:v>Código</x:v>
      </x:c>
      <x:c r="C3" s="9" t="str">
        <x:v>Produto / unidade</x:v>
      </x:c>
      <x:c r="D3" s="9" t="str">
        <x:v>Peso por unidade (kg)</x:v>
      </x:c>
      <x:c r="E3" s="9" t="str">
        <x:v>Movimentos de entrada</x:v>
      </x:c>
      <x:c r="F3" s="9" t="str">
        <x:v>Movimentos de saída</x:v>
      </x:c>
      <x:c r="H3" t="str">
        <x:v>Turnos</x:v>
      </x:c>
      <x:c r="I3" t="str">
        <x:v>Movimentos</x:v>
      </x:c>
      <x:c r="J3" t="str">
        <x:v>Setores</x:v>
      </x:c>
    </x:row>
    <x:row r="4">
      <x:c r="A4" t="str">
        <x:v>Farinheira</x:v>
      </x:c>
      <x:c r="B4" t="str">
        <x:v>1437</x:v>
      </x:c>
      <x:c r="C4" t="str">
        <x:v>Big Bag 1.300 kg</x:v>
      </x:c>
      <x:c r="D4" t="n">
        <x:v>1300</x:v>
      </x:c>
      <x:c r="E4" t="str">
        <x:v>ENTRADA</x:v>
      </x:c>
      <x:c r="F4" t="str">
        <x:v>CONSUMO / SAÍDA</x:v>
      </x:c>
      <x:c r="H4" t="str">
        <x:v>1º Turno</x:v>
      </x:c>
      <x:c r="I4" t="str">
        <x:v>ENTRADA</x:v>
      </x:c>
      <x:c r="J4" t="str">
        <x:v>Farinheira</x:v>
      </x:c>
    </x:row>
    <x:row r="5">
      <x:c r="A5" t="str">
        <x:v>Colorífico</x:v>
      </x:c>
      <x:c r="B5" t="str">
        <x:v>1436</x:v>
      </x:c>
      <x:c r="C5" t="str">
        <x:v>Big Bag 1.250 kg</x:v>
      </x:c>
      <x:c r="D5" t="n">
        <x:v>1250</x:v>
      </x:c>
      <x:c r="E5" t="str">
        <x:v>ENTRADA</x:v>
      </x:c>
      <x:c r="F5" t="str">
        <x:v>CONSUMO / SAÍDA</x:v>
      </x:c>
      <x:c r="H5" t="str">
        <x:v>2º Turno</x:v>
      </x:c>
      <x:c r="I5" t="str">
        <x:v>CONSUMO</x:v>
      </x:c>
      <x:c r="J5" t="str">
        <x:v>Colorífico</x:v>
      </x:c>
    </x:row>
    <x:row r="6">
      <x:c r="A6" t="str">
        <x:v>Farinha para o Flotamil</x:v>
      </x:c>
      <x:c r="B6" t="str">
        <x:v>691</x:v>
      </x:c>
      <x:c r="C6" t="str">
        <x:v>Farinha (controle em kg)</x:v>
      </x:c>
      <x:c r="D6" t="n">
        <x:v>1</x:v>
      </x:c>
      <x:c r="E6" t="str">
        <x:v>ENTRADA</x:v>
      </x:c>
      <x:c r="F6" t="str">
        <x:v>CONSUMO / SAÍDA</x:v>
      </x:c>
      <x:c r="H6" t="str">
        <x:v>3º Turno</x:v>
      </x:c>
      <x:c r="I6" t="str">
        <x:v>SAÍDA</x:v>
      </x:c>
    </x:row>
    <x:row r="7">
      <x:c r="A7" t="str">
        <x:v>Regra FIFO</x:v>
      </x:c>
      <x:c r="B7" t="str"/>
      <x:c r="C7" t="str">
        <x:v>Primeiro lote com entrada mais antiga e saldo positivo deve ser consumido primeiro</x:v>
      </x:c>
      <x:c r="D7" t="str"/>
      <x:c r="E7" t="str"/>
      <x:c r="F7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5" hidden="0" customWidth="1"/>
  </x:cols>
  <x:sheetData>
    <x:row r="1" ht="30" customHeight="1">
      <x:c r="A1" s="3" t="str">
        <x:v>COMO USAR ESTE CONTROLE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3">
      <x:c r="A3" s="9" t="str">
        <x:v>Etapa</x:v>
      </x:c>
      <x:c r="B3" s="9" t="str">
        <x:v>O que fazer</x:v>
      </x:c>
      <x:c r="C3" s="9" t="str"/>
      <x:c r="D3" s="9" t="str"/>
      <x:c r="E3" s="9" t="str"/>
      <x:c r="F3" s="9" t="str"/>
      <x:c r="G3" s="9" t="str"/>
      <x:c r="H3" s="9" t="str"/>
    </x:row>
    <x:row r="4" ht="34" customHeight="1">
      <x:c r="A4" t="str">
        <x:v>1. Registrar</x:v>
      </x:c>
      <x:c r="B4" s="66" t="str">
        <x:v>Na aba Movimentações, inclua data, tipo, setor, lote, quantidade, responsável e turno.</x:v>
      </x:c>
      <x:c r="C4" t="str"/>
      <x:c r="D4" t="str"/>
      <x:c r="E4" t="str"/>
      <x:c r="F4" t="str"/>
      <x:c r="G4" t="str"/>
      <x:c r="H4" t="str"/>
    </x:row>
    <x:row r="5" ht="34" customHeight="1">
      <x:c r="A5" t="str">
        <x:v>2. Conferir</x:v>
      </x:c>
      <x:c r="B5" s="66" t="str">
        <x:v>As colunas Entrada, Saída, kg e Conformidade FIFO são automáticas. Não digite nelas.</x:v>
      </x:c>
      <x:c r="C5" t="str"/>
      <x:c r="D5" t="str"/>
      <x:c r="E5" t="str"/>
      <x:c r="F5" t="str"/>
      <x:c r="G5" t="str"/>
      <x:c r="H5" t="str"/>
    </x:row>
    <x:row r="6" ht="34" customHeight="1">
      <x:c r="A6" t="str">
        <x:v>3. Ver saldo</x:v>
      </x:c>
      <x:c r="B6" s="66" t="str">
        <x:v>A aba Estoque por Lote soma entradas menos saídas e alerta saldo negativo ou baixo.</x:v>
      </x:c>
      <x:c r="C6" t="str"/>
      <x:c r="D6" t="str"/>
      <x:c r="E6" t="str"/>
      <x:c r="F6" t="str"/>
      <x:c r="G6" t="str"/>
      <x:c r="H6" t="str"/>
    </x:row>
    <x:row r="7" ht="34" customHeight="1">
      <x:c r="A7" t="str">
        <x:v>4. Seguir FIFO</x:v>
      </x:c>
      <x:c r="B7" s="66" t="str">
        <x:v>Na aba FIFO, filtre o setor e consuma primeiro o lote marcado como CONSUMIR PRIMEIRO.</x:v>
      </x:c>
      <x:c r="C7" t="str"/>
      <x:c r="D7" t="str"/>
      <x:c r="E7" t="str"/>
      <x:c r="F7" t="str"/>
      <x:c r="G7" t="str"/>
      <x:c r="H7" t="str"/>
    </x:row>
    <x:row r="8" ht="34" customHeight="1">
      <x:c r="A8" t="str">
        <x:v>5. Tratar exceções</x:v>
      </x:c>
      <x:c r="B8" s="66" t="str">
        <x:v>Se outro lote for usado, registre o motivo na Observação com a expressão “não seguiu FIFO”.</x:v>
      </x:c>
      <x:c r="C8" t="str"/>
      <x:c r="D8" t="str"/>
      <x:c r="E8" t="str"/>
      <x:c r="F8" t="str"/>
      <x:c r="G8" t="str"/>
      <x:c r="H8" t="str"/>
    </x:row>
    <x:row r="9" ht="34" customHeight="1">
      <x:c r="A9" t="str">
        <x:v>6. Atualizar novos lotes</x:v>
      </x:c>
      <x:c r="B9" s="66" t="str">
        <x:v>Cadastre o novo lote também nas linhas vazias da aba Estoque por Lote.</x:v>
      </x:c>
      <x:c r="C9" t="str"/>
      <x:c r="D9" t="str"/>
      <x:c r="E9" t="str"/>
      <x:c r="F9" t="str"/>
      <x:c r="G9" t="str"/>
      <x:c r="H9" t="str"/>
    </x:row>
    <x:row r="10" ht="34" customHeight="1">
      <x:c r="A10" t="str">
        <x:v>Importante</x:v>
      </x:c>
      <x:c r="B10" s="66" t="str">
        <x:v>Quantidade é BAGS para códigos 1437/1436 e kg para o código 691 (Flotamil).</x:v>
      </x:c>
      <x:c r="C10" t="str"/>
      <x:c r="D10" t="str"/>
      <x:c r="E10" t="str"/>
      <x:c r="F10" t="str"/>
      <x:c r="G10" t="str"/>
      <x:c r="H10" t="str"/>
    </x:row>
    <x:row r="11" ht="34" customHeight="1">
      <x:c r="A11" t="str">
        <x:v>Origem</x:v>
      </x:c>
      <x:c r="B11" s="66" t="str">
        <x:v>Histórico importado de relatorio_bags_2026-08-21.csv.</x:v>
      </x:c>
      <x:c r="C11" t="str"/>
      <x:c r="D11" t="str"/>
      <x:c r="E11" t="str"/>
      <x:c r="F11" t="str"/>
      <x:c r="G11" t="str"/>
      <x:c r="H11" t="str"/>
    </x:row>
    <x:row r="12" ht="34" customHeight="1">
      <x:c r="A12" t="str">
        <x:v>Capacidade</x:v>
      </x:c>
      <x:c r="B12" s="66" t="str">
        <x:v>Planilha preparada para até 500 movimentações e 100 combinações setor/lote.</x:v>
      </x:c>
      <x:c r="C12" t="str"/>
      <x:c r="D12" t="str"/>
      <x:c r="E12" t="str"/>
      <x:c r="F12" t="str"/>
      <x:c r="G12" t="str"/>
      <x:c r="H12" t="str"/>
    </x:row>
  </x:sheetData>
  <x:mergeCells>
    <x:mergeCell ref="A1:H1"/>
  </x:mergeCells>
  <x:pageMargins left="0.7" right="0.7" top="0.75" bottom="0.75" header="0.3" footer="0.3"/>
</x:worksheet>
</file>